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9c526f47cc2a2f/Desktop/"/>
    </mc:Choice>
  </mc:AlternateContent>
  <xr:revisionPtr revIDLastSave="3" documentId="11_ABD9688ADD97A9149752445AE92870236495417D" xr6:coauthVersionLast="47" xr6:coauthVersionMax="47" xr10:uidLastSave="{4C81B5D6-445F-4750-87A9-FBF81438F247}"/>
  <bookViews>
    <workbookView xWindow="-120" yWindow="-120" windowWidth="29040" windowHeight="15720" xr2:uid="{00000000-000D-0000-FFFF-FFFF00000000}"/>
  </bookViews>
  <sheets>
    <sheet name="Multan June-2026" sheetId="23" r:id="rId1"/>
  </sheets>
  <definedNames>
    <definedName name="_xlnm.Print_Area" localSheetId="0">'Multan June-2026'!$A$1:$K$137</definedName>
  </definedNames>
  <calcPr calcId="181029"/>
</workbook>
</file>

<file path=xl/calcChain.xml><?xml version="1.0" encoding="utf-8"?>
<calcChain xmlns="http://schemas.openxmlformats.org/spreadsheetml/2006/main">
  <c r="D43" i="23" l="1"/>
  <c r="D42" i="23"/>
  <c r="D41" i="23"/>
  <c r="D37" i="23"/>
  <c r="D15" i="23"/>
  <c r="D10" i="23"/>
  <c r="D9" i="23"/>
  <c r="C27" i="23" l="1"/>
  <c r="C13" i="23"/>
  <c r="D13" i="23" s="1"/>
  <c r="E133" i="23"/>
  <c r="E132" i="23"/>
  <c r="D132" i="23"/>
  <c r="C132" i="23"/>
  <c r="C130" i="23"/>
  <c r="C115" i="23"/>
  <c r="C117" i="23"/>
  <c r="C114" i="23"/>
  <c r="E114" i="23"/>
  <c r="H79" i="23"/>
  <c r="H80" i="23"/>
  <c r="H78" i="23"/>
  <c r="H77" i="23"/>
  <c r="C79" i="23"/>
  <c r="C129" i="23" s="1"/>
  <c r="D79" i="23"/>
  <c r="E79" i="23"/>
  <c r="E129" i="23" s="1"/>
  <c r="F79" i="23"/>
  <c r="F129" i="23" s="1"/>
  <c r="C80" i="23"/>
  <c r="D80" i="23"/>
  <c r="E80" i="23"/>
  <c r="F80" i="23"/>
  <c r="F78" i="23"/>
  <c r="F128" i="23" s="1"/>
  <c r="E78" i="23"/>
  <c r="E128" i="23" s="1"/>
  <c r="D78" i="23"/>
  <c r="D128" i="23" s="1"/>
  <c r="C78" i="23"/>
  <c r="C128" i="23" s="1"/>
  <c r="C77" i="23"/>
  <c r="G25" i="23"/>
  <c r="I25" i="23" s="1"/>
  <c r="K25" i="23" s="1"/>
  <c r="G23" i="23"/>
  <c r="I23" i="23" s="1"/>
  <c r="K23" i="23" s="1"/>
  <c r="G20" i="23"/>
  <c r="F17" i="23"/>
  <c r="E17" i="23"/>
  <c r="D17" i="23"/>
  <c r="E27" i="23"/>
  <c r="E26" i="23"/>
  <c r="J26" i="23"/>
  <c r="H26" i="23"/>
  <c r="G24" i="23"/>
  <c r="I24" i="23" s="1"/>
  <c r="K24" i="23" s="1"/>
  <c r="G22" i="23"/>
  <c r="F26" i="23"/>
  <c r="D26" i="23"/>
  <c r="C26" i="23"/>
  <c r="G80" i="23" l="1"/>
  <c r="G79" i="23"/>
  <c r="I79" i="23" s="1"/>
  <c r="K79" i="23" s="1"/>
  <c r="C116" i="23"/>
  <c r="E28" i="23"/>
  <c r="D129" i="23"/>
  <c r="G26" i="23"/>
  <c r="I26" i="23" s="1"/>
  <c r="I80" i="23"/>
  <c r="K80" i="23" s="1"/>
  <c r="G78" i="23"/>
  <c r="I78" i="23" s="1"/>
  <c r="K78" i="23" s="1"/>
  <c r="J76" i="23"/>
  <c r="J77" i="23"/>
  <c r="J75" i="23"/>
  <c r="J63" i="23"/>
  <c r="J64" i="23"/>
  <c r="J65" i="23"/>
  <c r="J66" i="23"/>
  <c r="J67" i="23"/>
  <c r="J68" i="23"/>
  <c r="J69" i="23"/>
  <c r="J62" i="23"/>
  <c r="H76" i="23"/>
  <c r="H75" i="23"/>
  <c r="H62" i="23"/>
  <c r="H63" i="23"/>
  <c r="H64" i="23"/>
  <c r="H65" i="23"/>
  <c r="H66" i="23"/>
  <c r="H67" i="23"/>
  <c r="H68" i="23"/>
  <c r="H69" i="23"/>
  <c r="C76" i="23"/>
  <c r="D76" i="23"/>
  <c r="E76" i="23"/>
  <c r="F76" i="23"/>
  <c r="D77" i="23"/>
  <c r="E77" i="23"/>
  <c r="F77" i="23"/>
  <c r="F75" i="23"/>
  <c r="E75" i="23"/>
  <c r="D75" i="23"/>
  <c r="C75" i="23"/>
  <c r="J129" i="23"/>
  <c r="J128" i="23"/>
  <c r="H128" i="23"/>
  <c r="H129" i="23"/>
  <c r="C63" i="23"/>
  <c r="E63" i="23"/>
  <c r="F63" i="23"/>
  <c r="C64" i="23"/>
  <c r="D64" i="23"/>
  <c r="E64" i="23"/>
  <c r="F64" i="23"/>
  <c r="C65" i="23"/>
  <c r="D65" i="23"/>
  <c r="E65" i="23"/>
  <c r="F65" i="23"/>
  <c r="C66" i="23"/>
  <c r="D66" i="23"/>
  <c r="E66" i="23"/>
  <c r="F66" i="23"/>
  <c r="C67" i="23"/>
  <c r="D67" i="23"/>
  <c r="E67" i="23"/>
  <c r="F67" i="23"/>
  <c r="C68" i="23"/>
  <c r="E68" i="23"/>
  <c r="F68" i="23"/>
  <c r="C69" i="23"/>
  <c r="D69" i="23"/>
  <c r="E69" i="23"/>
  <c r="F69" i="23"/>
  <c r="E62" i="23"/>
  <c r="F62" i="23"/>
  <c r="D62" i="23"/>
  <c r="C62" i="23"/>
  <c r="J71" i="23"/>
  <c r="H71" i="23"/>
  <c r="F71" i="23"/>
  <c r="E71" i="23"/>
  <c r="C71" i="23"/>
  <c r="J70" i="23"/>
  <c r="H70" i="23"/>
  <c r="F70" i="23"/>
  <c r="E70" i="23"/>
  <c r="D70" i="23"/>
  <c r="C70" i="23"/>
  <c r="D81" i="23" l="1"/>
  <c r="J81" i="23"/>
  <c r="C81" i="23"/>
  <c r="C72" i="23"/>
  <c r="F81" i="23"/>
  <c r="E81" i="23"/>
  <c r="F72" i="23"/>
  <c r="E72" i="23"/>
  <c r="G62" i="23"/>
  <c r="I62" i="23" s="1"/>
  <c r="K62" i="23" s="1"/>
  <c r="G77" i="23"/>
  <c r="I77" i="23" s="1"/>
  <c r="G67" i="23"/>
  <c r="I67" i="23" s="1"/>
  <c r="G76" i="23"/>
  <c r="I76" i="23" s="1"/>
  <c r="G66" i="23"/>
  <c r="I66" i="23" s="1"/>
  <c r="G64" i="23"/>
  <c r="I64" i="23" s="1"/>
  <c r="K64" i="23" s="1"/>
  <c r="G65" i="23"/>
  <c r="I65" i="23" s="1"/>
  <c r="G69" i="23"/>
  <c r="I69" i="23" s="1"/>
  <c r="G75" i="23"/>
  <c r="G81" i="23" l="1"/>
  <c r="I75" i="23"/>
  <c r="C122" i="23" l="1"/>
  <c r="D122" i="23"/>
  <c r="E122" i="23"/>
  <c r="F122" i="23"/>
  <c r="G122" i="23"/>
  <c r="H122" i="23"/>
  <c r="I122" i="23"/>
  <c r="J122" i="23"/>
  <c r="C123" i="23"/>
  <c r="D123" i="23"/>
  <c r="E123" i="23"/>
  <c r="F123" i="23"/>
  <c r="G123" i="23"/>
  <c r="H123" i="23"/>
  <c r="I123" i="23"/>
  <c r="J123" i="23"/>
  <c r="D68" i="23"/>
  <c r="G68" i="23" s="1"/>
  <c r="I68" i="23" s="1"/>
  <c r="D63" i="23"/>
  <c r="D118" i="23"/>
  <c r="D116" i="23"/>
  <c r="D27" i="23"/>
  <c r="D119" i="23"/>
  <c r="G9" i="23"/>
  <c r="J132" i="23"/>
  <c r="J131" i="23"/>
  <c r="J130" i="23"/>
  <c r="J117" i="23"/>
  <c r="J116" i="23"/>
  <c r="J115" i="23"/>
  <c r="J114" i="23"/>
  <c r="H133" i="23"/>
  <c r="H132" i="23"/>
  <c r="H131" i="23"/>
  <c r="H130" i="23"/>
  <c r="H117" i="23"/>
  <c r="H116" i="23"/>
  <c r="H115" i="23"/>
  <c r="H114" i="23"/>
  <c r="F133" i="23"/>
  <c r="F132" i="23"/>
  <c r="F131" i="23"/>
  <c r="E131" i="23"/>
  <c r="F130" i="23"/>
  <c r="E130" i="23"/>
  <c r="F127" i="23"/>
  <c r="E127" i="23"/>
  <c r="D133" i="23"/>
  <c r="D131" i="23"/>
  <c r="D130" i="23"/>
  <c r="D127" i="23"/>
  <c r="F121" i="23"/>
  <c r="F120" i="23"/>
  <c r="F119" i="23"/>
  <c r="F118" i="23"/>
  <c r="F117" i="23"/>
  <c r="F116" i="23"/>
  <c r="F115" i="23"/>
  <c r="F114" i="23"/>
  <c r="E121" i="23"/>
  <c r="E120" i="23"/>
  <c r="E119" i="23"/>
  <c r="E118" i="23"/>
  <c r="E117" i="23"/>
  <c r="E116" i="23"/>
  <c r="E115" i="23"/>
  <c r="D121" i="23"/>
  <c r="D117" i="23"/>
  <c r="D98" i="23"/>
  <c r="C98" i="23"/>
  <c r="C97" i="23"/>
  <c r="C133" i="23"/>
  <c r="C131" i="23"/>
  <c r="C118" i="23"/>
  <c r="C119" i="23"/>
  <c r="C120" i="23"/>
  <c r="C121" i="23"/>
  <c r="J104" i="23"/>
  <c r="J103" i="23"/>
  <c r="J98" i="23"/>
  <c r="J97" i="23"/>
  <c r="H104" i="23"/>
  <c r="F104" i="23"/>
  <c r="E104" i="23"/>
  <c r="D104" i="23"/>
  <c r="C104" i="23"/>
  <c r="H103" i="23"/>
  <c r="F103" i="23"/>
  <c r="E103" i="23"/>
  <c r="D103" i="23"/>
  <c r="C103" i="23"/>
  <c r="G102" i="23"/>
  <c r="G101" i="23"/>
  <c r="I101" i="23" s="1"/>
  <c r="G100" i="23"/>
  <c r="I100" i="23" s="1"/>
  <c r="H98" i="23"/>
  <c r="F98" i="23"/>
  <c r="E98" i="23"/>
  <c r="H97" i="23"/>
  <c r="F97" i="23"/>
  <c r="E97" i="23"/>
  <c r="D97" i="23"/>
  <c r="G96" i="23"/>
  <c r="I96" i="23" s="1"/>
  <c r="G95" i="23"/>
  <c r="I95" i="23" s="1"/>
  <c r="G94" i="23"/>
  <c r="G93" i="23"/>
  <c r="C46" i="23"/>
  <c r="E46" i="23"/>
  <c r="F46" i="23"/>
  <c r="H46" i="23"/>
  <c r="C52" i="23"/>
  <c r="D52" i="23"/>
  <c r="E52" i="23"/>
  <c r="E82" i="23" s="1"/>
  <c r="F52" i="23"/>
  <c r="H52" i="23"/>
  <c r="C18" i="23"/>
  <c r="E18" i="23"/>
  <c r="E29" i="23" s="1"/>
  <c r="F18" i="23"/>
  <c r="H18" i="23"/>
  <c r="H73" i="23" s="1"/>
  <c r="F27" i="23"/>
  <c r="H27" i="23"/>
  <c r="H82" i="23" s="1"/>
  <c r="G49" i="23"/>
  <c r="C51" i="23"/>
  <c r="C45" i="23"/>
  <c r="C17" i="23"/>
  <c r="G40" i="23"/>
  <c r="G12" i="23"/>
  <c r="I12" i="23" s="1"/>
  <c r="G16" i="23"/>
  <c r="I16" i="23" s="1"/>
  <c r="K16" i="23" s="1"/>
  <c r="J18" i="23"/>
  <c r="J29" i="23" s="1"/>
  <c r="J46" i="23"/>
  <c r="J52" i="23"/>
  <c r="J27" i="23"/>
  <c r="J82" i="23" s="1"/>
  <c r="J17" i="23"/>
  <c r="J45" i="23"/>
  <c r="J51" i="23"/>
  <c r="H17" i="23"/>
  <c r="D45" i="23"/>
  <c r="D51" i="23"/>
  <c r="E45" i="23"/>
  <c r="E51" i="23"/>
  <c r="F45" i="23"/>
  <c r="F73" i="23" s="1"/>
  <c r="F51" i="23"/>
  <c r="H45" i="23"/>
  <c r="H51" i="23"/>
  <c r="H81" i="23" s="1"/>
  <c r="I81" i="23" s="1"/>
  <c r="J133" i="23"/>
  <c r="I22" i="23"/>
  <c r="G50" i="23"/>
  <c r="G21" i="23"/>
  <c r="J127" i="23"/>
  <c r="I20" i="23"/>
  <c r="G48" i="23"/>
  <c r="H127" i="23"/>
  <c r="C127" i="23"/>
  <c r="J121" i="23"/>
  <c r="G44" i="23"/>
  <c r="H121" i="23"/>
  <c r="J120" i="23"/>
  <c r="G15" i="23"/>
  <c r="I15" i="23" s="1"/>
  <c r="G43" i="23"/>
  <c r="H120" i="23"/>
  <c r="J119" i="23"/>
  <c r="G14" i="23"/>
  <c r="I14" i="23" s="1"/>
  <c r="G42" i="23"/>
  <c r="H119" i="23"/>
  <c r="J118" i="23"/>
  <c r="G13" i="23"/>
  <c r="I13" i="23" s="1"/>
  <c r="G41" i="23"/>
  <c r="H118" i="23"/>
  <c r="G11" i="23"/>
  <c r="I11" i="23" s="1"/>
  <c r="G39" i="23"/>
  <c r="G10" i="23"/>
  <c r="I10" i="23" s="1"/>
  <c r="G37" i="23"/>
  <c r="J72" i="23" l="1"/>
  <c r="J83" i="23" s="1"/>
  <c r="E54" i="23"/>
  <c r="E134" i="23"/>
  <c r="D82" i="23"/>
  <c r="F82" i="23"/>
  <c r="E84" i="23"/>
  <c r="C73" i="23"/>
  <c r="C134" i="23"/>
  <c r="G27" i="23"/>
  <c r="I27" i="23" s="1"/>
  <c r="C135" i="23"/>
  <c r="C82" i="23"/>
  <c r="D134" i="23"/>
  <c r="E73" i="23"/>
  <c r="G63" i="23"/>
  <c r="G72" i="23" s="1"/>
  <c r="D72" i="23"/>
  <c r="G127" i="23"/>
  <c r="I127" i="23" s="1"/>
  <c r="K127" i="23" s="1"/>
  <c r="H106" i="23"/>
  <c r="E106" i="23"/>
  <c r="H72" i="23"/>
  <c r="J73" i="23"/>
  <c r="K122" i="23"/>
  <c r="D115" i="23"/>
  <c r="G115" i="23" s="1"/>
  <c r="G38" i="23"/>
  <c r="I38" i="23" s="1"/>
  <c r="D46" i="23"/>
  <c r="D54" i="23" s="1"/>
  <c r="G131" i="23"/>
  <c r="I131" i="23" s="1"/>
  <c r="K131" i="23" s="1"/>
  <c r="F28" i="23"/>
  <c r="I41" i="23"/>
  <c r="I48" i="23"/>
  <c r="I37" i="23"/>
  <c r="I44" i="23"/>
  <c r="I39" i="23"/>
  <c r="I40" i="23"/>
  <c r="I49" i="23"/>
  <c r="I43" i="23"/>
  <c r="G71" i="23"/>
  <c r="I42" i="23"/>
  <c r="G70" i="23"/>
  <c r="D120" i="23"/>
  <c r="G120" i="23" s="1"/>
  <c r="I120" i="23" s="1"/>
  <c r="K120" i="23" s="1"/>
  <c r="D71" i="23"/>
  <c r="K123" i="23"/>
  <c r="C29" i="23"/>
  <c r="F125" i="23"/>
  <c r="J106" i="23"/>
  <c r="G128" i="23"/>
  <c r="I128" i="23" s="1"/>
  <c r="K128" i="23" s="1"/>
  <c r="G121" i="23"/>
  <c r="I121" i="23" s="1"/>
  <c r="K121" i="23" s="1"/>
  <c r="H125" i="23"/>
  <c r="J134" i="23"/>
  <c r="J135" i="23"/>
  <c r="C106" i="23"/>
  <c r="G133" i="23"/>
  <c r="I133" i="23" s="1"/>
  <c r="H124" i="23"/>
  <c r="H134" i="23"/>
  <c r="G118" i="23"/>
  <c r="I118" i="23" s="1"/>
  <c r="K118" i="23" s="1"/>
  <c r="E135" i="23"/>
  <c r="J124" i="23"/>
  <c r="F135" i="23"/>
  <c r="H135" i="23"/>
  <c r="G119" i="23"/>
  <c r="I119" i="23" s="1"/>
  <c r="K119" i="23" s="1"/>
  <c r="E124" i="23"/>
  <c r="E125" i="23"/>
  <c r="F124" i="23"/>
  <c r="F106" i="23"/>
  <c r="J125" i="23"/>
  <c r="K95" i="23"/>
  <c r="K96" i="23"/>
  <c r="K100" i="23"/>
  <c r="K101" i="23"/>
  <c r="G130" i="23"/>
  <c r="I130" i="23" s="1"/>
  <c r="K130" i="23" s="1"/>
  <c r="I93" i="23"/>
  <c r="K93" i="23" s="1"/>
  <c r="I102" i="23"/>
  <c r="K102" i="23" s="1"/>
  <c r="F134" i="23"/>
  <c r="I94" i="23"/>
  <c r="K94" i="23" s="1"/>
  <c r="G129" i="23"/>
  <c r="I129" i="23" s="1"/>
  <c r="K129" i="23" s="1"/>
  <c r="G117" i="23"/>
  <c r="I117" i="23" s="1"/>
  <c r="K117" i="23" s="1"/>
  <c r="D135" i="23"/>
  <c r="G132" i="23"/>
  <c r="I132" i="23" s="1"/>
  <c r="C124" i="23"/>
  <c r="C125" i="23"/>
  <c r="G116" i="23"/>
  <c r="I116" i="23" s="1"/>
  <c r="K116" i="23" s="1"/>
  <c r="D114" i="23"/>
  <c r="G114" i="23" s="1"/>
  <c r="I114" i="23" s="1"/>
  <c r="D18" i="23"/>
  <c r="J105" i="23"/>
  <c r="D105" i="23"/>
  <c r="F105" i="23"/>
  <c r="E105" i="23"/>
  <c r="H105" i="23"/>
  <c r="G104" i="23"/>
  <c r="G97" i="23"/>
  <c r="G103" i="23"/>
  <c r="G98" i="23"/>
  <c r="I98" i="23" s="1"/>
  <c r="C105" i="23"/>
  <c r="H54" i="23"/>
  <c r="D53" i="23"/>
  <c r="J54" i="23"/>
  <c r="J53" i="23"/>
  <c r="H29" i="23"/>
  <c r="H28" i="23"/>
  <c r="J28" i="23"/>
  <c r="E53" i="23"/>
  <c r="E83" i="23" s="1"/>
  <c r="H53" i="23"/>
  <c r="C53" i="23"/>
  <c r="G51" i="23"/>
  <c r="G52" i="23"/>
  <c r="I50" i="23"/>
  <c r="F53" i="23"/>
  <c r="F54" i="23"/>
  <c r="G45" i="23"/>
  <c r="C54" i="23"/>
  <c r="K22" i="23"/>
  <c r="I21" i="23"/>
  <c r="K21" i="23" s="1"/>
  <c r="F29" i="23"/>
  <c r="F84" i="23" s="1"/>
  <c r="K13" i="23"/>
  <c r="C28" i="23"/>
  <c r="K20" i="23"/>
  <c r="K15" i="23"/>
  <c r="K14" i="23"/>
  <c r="K12" i="23"/>
  <c r="K11" i="23"/>
  <c r="K10" i="23"/>
  <c r="I9" i="23"/>
  <c r="F137" i="23" l="1"/>
  <c r="H83" i="23"/>
  <c r="G82" i="23"/>
  <c r="H84" i="23"/>
  <c r="I63" i="23"/>
  <c r="K63" i="23" s="1"/>
  <c r="E137" i="23"/>
  <c r="G106" i="23"/>
  <c r="I106" i="23" s="1"/>
  <c r="K106" i="23" s="1"/>
  <c r="D73" i="23"/>
  <c r="G73" i="23" s="1"/>
  <c r="I73" i="23" s="1"/>
  <c r="C84" i="23"/>
  <c r="C137" i="23" s="1"/>
  <c r="F83" i="23"/>
  <c r="C83" i="23"/>
  <c r="C136" i="23"/>
  <c r="I72" i="23"/>
  <c r="K72" i="23" s="1"/>
  <c r="G46" i="23"/>
  <c r="I46" i="23" s="1"/>
  <c r="K46" i="23" s="1"/>
  <c r="I82" i="23"/>
  <c r="J84" i="23"/>
  <c r="K44" i="23"/>
  <c r="I51" i="23"/>
  <c r="K76" i="23"/>
  <c r="K39" i="23"/>
  <c r="K67" i="23"/>
  <c r="K38" i="23"/>
  <c r="K66" i="23"/>
  <c r="K40" i="23"/>
  <c r="K68" i="23"/>
  <c r="K42" i="23"/>
  <c r="I70" i="23"/>
  <c r="K70" i="23" s="1"/>
  <c r="K50" i="23"/>
  <c r="K81" i="23"/>
  <c r="K43" i="23"/>
  <c r="I71" i="23"/>
  <c r="K71" i="23" s="1"/>
  <c r="K41" i="23"/>
  <c r="K69" i="23"/>
  <c r="I45" i="23"/>
  <c r="K48" i="23"/>
  <c r="I52" i="23"/>
  <c r="K49" i="23"/>
  <c r="K77" i="23"/>
  <c r="K37" i="23"/>
  <c r="K65" i="23"/>
  <c r="E136" i="23"/>
  <c r="F136" i="23"/>
  <c r="J137" i="23"/>
  <c r="J136" i="23"/>
  <c r="D125" i="23"/>
  <c r="D29" i="23"/>
  <c r="H136" i="23"/>
  <c r="G17" i="23"/>
  <c r="D28" i="23"/>
  <c r="H137" i="23"/>
  <c r="I104" i="23"/>
  <c r="K104" i="23" s="1"/>
  <c r="I97" i="23"/>
  <c r="I103" i="23"/>
  <c r="K103" i="23" s="1"/>
  <c r="G134" i="23"/>
  <c r="I134" i="23" s="1"/>
  <c r="K134" i="23" s="1"/>
  <c r="G135" i="23"/>
  <c r="I135" i="23" s="1"/>
  <c r="K135" i="23" s="1"/>
  <c r="D124" i="23"/>
  <c r="G18" i="23"/>
  <c r="G124" i="23"/>
  <c r="I115" i="23"/>
  <c r="K98" i="23"/>
  <c r="G105" i="23"/>
  <c r="K132" i="23"/>
  <c r="G53" i="23"/>
  <c r="K133" i="23"/>
  <c r="G54" i="23"/>
  <c r="I54" i="23" s="1"/>
  <c r="K54" i="23" s="1"/>
  <c r="K114" i="23"/>
  <c r="K9" i="23"/>
  <c r="G29" i="23" l="1"/>
  <c r="I29" i="23" s="1"/>
  <c r="K29" i="23" s="1"/>
  <c r="D84" i="23"/>
  <c r="D136" i="23"/>
  <c r="D83" i="23"/>
  <c r="G83" i="23" s="1"/>
  <c r="I83" i="23" s="1"/>
  <c r="K83" i="23" s="1"/>
  <c r="G28" i="23"/>
  <c r="I28" i="23" s="1"/>
  <c r="K45" i="23"/>
  <c r="K73" i="23"/>
  <c r="I18" i="23"/>
  <c r="K53" i="23"/>
  <c r="I17" i="23"/>
  <c r="K75" i="23" s="1"/>
  <c r="K52" i="23"/>
  <c r="K51" i="23"/>
  <c r="K82" i="23"/>
  <c r="I105" i="23"/>
  <c r="K105" i="23" s="1"/>
  <c r="K97" i="23"/>
  <c r="G136" i="23"/>
  <c r="I136" i="23" s="1"/>
  <c r="G125" i="23"/>
  <c r="I125" i="23" s="1"/>
  <c r="K125" i="23" s="1"/>
  <c r="I124" i="23"/>
  <c r="K124" i="23" s="1"/>
  <c r="K115" i="23"/>
  <c r="K27" i="23"/>
  <c r="K26" i="23"/>
  <c r="D137" i="23" l="1"/>
  <c r="G84" i="23"/>
  <c r="I84" i="23" s="1"/>
  <c r="K84" i="23" s="1"/>
  <c r="K17" i="23"/>
  <c r="K18" i="23"/>
  <c r="G137" i="23"/>
  <c r="I137" i="23" s="1"/>
  <c r="K137" i="23" s="1"/>
  <c r="K28" i="23"/>
  <c r="K136" i="23"/>
</calcChain>
</file>

<file path=xl/sharedStrings.xml><?xml version="1.0" encoding="utf-8"?>
<sst xmlns="http://schemas.openxmlformats.org/spreadsheetml/2006/main" count="188" uniqueCount="49">
  <si>
    <t>Origin Ophthalmics (Pvt.) Ltd.</t>
  </si>
  <si>
    <t>Individual Monthly Sales</t>
  </si>
  <si>
    <t>Product</t>
  </si>
  <si>
    <t>Distributor ( A )</t>
  </si>
  <si>
    <t>Direct ( B )</t>
  </si>
  <si>
    <t>Total (A+B)</t>
  </si>
  <si>
    <t>Monthly</t>
  </si>
  <si>
    <t>Ach</t>
  </si>
  <si>
    <t>Target</t>
  </si>
  <si>
    <t>% age</t>
  </si>
  <si>
    <t>Cepat</t>
  </si>
  <si>
    <t>Sub Total (Units)</t>
  </si>
  <si>
    <t>T.P. Value (Rs.)</t>
  </si>
  <si>
    <t>Liveyes Tab</t>
  </si>
  <si>
    <t>Liveyes Syp</t>
  </si>
  <si>
    <t>T.P.Value (Rs.)</t>
  </si>
  <si>
    <t xml:space="preserve">Grand Total (Units) </t>
  </si>
  <si>
    <t>Grand Total T.P.</t>
  </si>
  <si>
    <t>Cemox</t>
  </si>
  <si>
    <t>Group-A (Pharma)</t>
  </si>
  <si>
    <t>Group-B (Nutra)</t>
  </si>
  <si>
    <t>Elevite Tab</t>
  </si>
  <si>
    <t>Cenac</t>
  </si>
  <si>
    <t>CresCip-DS</t>
  </si>
  <si>
    <t xml:space="preserve">Locrest </t>
  </si>
  <si>
    <t xml:space="preserve">Toradex </t>
  </si>
  <si>
    <t>1st Week</t>
  </si>
  <si>
    <t>2nd Week</t>
  </si>
  <si>
    <t>3rd Week</t>
  </si>
  <si>
    <t>4th Week</t>
  </si>
  <si>
    <t>Crestane 15ml</t>
  </si>
  <si>
    <t>Crestane 30ml</t>
  </si>
  <si>
    <t>Name: Arslan Majid                                                                           Desig: A.ASM                                                                Area: Multan-1</t>
  </si>
  <si>
    <t>Name: Bilal Hussain                                                                         Desig: F.O                                                                Area: Multan-2</t>
  </si>
  <si>
    <t>Group-1</t>
  </si>
  <si>
    <t>Group-2</t>
  </si>
  <si>
    <t>Name: Fiyaz Hussain                                                                         Desig: ASM                                                                Area: Multan</t>
  </si>
  <si>
    <t>Suretina Plus Syp</t>
  </si>
  <si>
    <t>Crestane 30 ml</t>
  </si>
  <si>
    <t>Crestane 15 ml</t>
  </si>
  <si>
    <t>Suretina Tab</t>
  </si>
  <si>
    <t>Suretina Plus Tab 30's</t>
  </si>
  <si>
    <t>Suretina Plus Tab 10's</t>
  </si>
  <si>
    <t>Suretina Plain Tab</t>
  </si>
  <si>
    <t>Group-1 Total</t>
  </si>
  <si>
    <t>Group 1 + Group 2 Total Multan Area Sales (Khalid Saeed Sb RSM)</t>
  </si>
  <si>
    <t>Suretina Plain</t>
  </si>
  <si>
    <t>Suretina Plus Tab (30)'s</t>
  </si>
  <si>
    <t>Month: 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</si>
</sst>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4"/>
      <color theme="1"/>
      <name val="Palatino Linotype"/>
    </font>
    <font>
      <b/>
      <sz val="12"/>
      <color theme="1"/>
      <name val="Palatino Linotype"/>
    </font>
    <font>
      <sz val="12"/>
      <color theme="1"/>
      <name val="Palatino Linotype"/>
    </font>
    <font>
      <b/>
      <sz val="12"/>
      <color rgb="FF000000"/>
      <name val="Palatino Linotype"/>
    </font>
    <font>
      <b/>
      <sz val="20"/>
      <color theme="1"/>
      <name val="Palatino Linotype"/>
    </font>
    <font>
      <b/>
      <sz val="11"/>
      <color theme="1"/>
      <name val="Palatino Linotype"/>
    </font>
    <font>
      <sz val="11"/>
      <color theme="1"/>
      <name val="Palatino Linotype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11"/>
      <color theme="1"/>
      <name val="Calibri"/>
      <scheme val="minor"/>
    </font>
    <font>
      <b/>
      <sz val="14"/>
      <color theme="0"/>
      <name val="Palatino Linotype"/>
      <family val="1"/>
    </font>
    <font>
      <b/>
      <sz val="12"/>
      <color theme="1"/>
      <name val="Palatino Linotype"/>
      <family val="1"/>
    </font>
    <font>
      <b/>
      <i/>
      <sz val="12"/>
      <color theme="1"/>
      <name val="Palatino Linotype"/>
      <family val="1"/>
    </font>
    <font>
      <sz val="12"/>
      <color theme="1"/>
      <name val="Palatino Linotype"/>
      <family val="1"/>
    </font>
    <font>
      <b/>
      <sz val="14"/>
      <color theme="1"/>
      <name val="Palatino Linotype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i/>
      <sz val="14"/>
      <color rgb="FF000000"/>
      <name val="Palatino Linotype"/>
      <family val="1"/>
    </font>
    <font>
      <sz val="10"/>
      <color theme="1"/>
      <name val="Palatino Linotype"/>
      <family val="1"/>
    </font>
    <font>
      <sz val="12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6337778862885"/>
        <bgColor rgb="FF000000"/>
      </patternFill>
    </fill>
    <fill>
      <patternFill patternType="solid">
        <fgColor theme="9" tint="0.59996337778862885"/>
        <bgColor rgb="FF000000"/>
      </patternFill>
    </fill>
    <fill>
      <patternFill patternType="solid">
        <fgColor theme="6" tint="0.3999450666829432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6337778862885"/>
        <bgColor rgb="FF000000"/>
      </patternFill>
    </fill>
    <fill>
      <patternFill patternType="solid">
        <fgColor theme="3" tint="0.79995117038483843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4" tint="0.79995117038483843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">
    <xf numFmtId="0" fontId="0" fillId="0" borderId="0" applyBorder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01">
    <xf numFmtId="0" fontId="0" fillId="0" borderId="0" xfId="0" applyAlignment="1"/>
    <xf numFmtId="1" fontId="2" fillId="7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9" fontId="0" fillId="0" borderId="0" xfId="1" applyFont="1" applyAlignment="1"/>
    <xf numFmtId="1" fontId="6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9" fontId="2" fillId="10" borderId="8" xfId="1" applyFont="1" applyFill="1" applyBorder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6" fillId="6" borderId="8" xfId="1" applyFont="1" applyFill="1" applyBorder="1" applyAlignment="1">
      <alignment horizontal="center" vertical="center"/>
    </xf>
    <xf numFmtId="9" fontId="4" fillId="7" borderId="8" xfId="1" applyFont="1" applyFill="1" applyBorder="1" applyAlignment="1">
      <alignment horizontal="center" vertical="center"/>
    </xf>
    <xf numFmtId="9" fontId="4" fillId="10" borderId="8" xfId="1" applyFont="1" applyFill="1" applyBorder="1" applyAlignment="1">
      <alignment horizontal="center" vertical="center"/>
    </xf>
    <xf numFmtId="1" fontId="4" fillId="10" borderId="9" xfId="0" applyNumberFormat="1" applyFont="1" applyFill="1" applyBorder="1" applyAlignment="1">
      <alignment horizontal="center" vertical="center"/>
    </xf>
    <xf numFmtId="9" fontId="4" fillId="10" borderId="10" xfId="1" applyFont="1" applyFill="1" applyBorder="1" applyAlignment="1">
      <alignment horizontal="center" vertical="center"/>
    </xf>
    <xf numFmtId="1" fontId="2" fillId="10" borderId="9" xfId="0" applyNumberFormat="1" applyFont="1" applyFill="1" applyBorder="1" applyAlignment="1">
      <alignment horizontal="center" vertical="center"/>
    </xf>
    <xf numFmtId="9" fontId="2" fillId="10" borderId="10" xfId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9" fontId="13" fillId="7" borderId="1" xfId="0" applyNumberFormat="1" applyFont="1" applyFill="1" applyBorder="1" applyAlignment="1">
      <alignment horizontal="center" vertical="center"/>
    </xf>
    <xf numFmtId="9" fontId="13" fillId="7" borderId="8" xfId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1" fontId="4" fillId="7" borderId="15" xfId="0" applyNumberFormat="1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9" fontId="4" fillId="7" borderId="25" xfId="1" applyFont="1" applyFill="1" applyBorder="1" applyAlignment="1">
      <alignment horizontal="center" vertical="center"/>
    </xf>
    <xf numFmtId="1" fontId="18" fillId="12" borderId="17" xfId="0" applyNumberFormat="1" applyFont="1" applyFill="1" applyBorder="1" applyAlignment="1">
      <alignment horizontal="center" vertical="center"/>
    </xf>
    <xf numFmtId="1" fontId="18" fillId="12" borderId="21" xfId="0" applyNumberFormat="1" applyFont="1" applyFill="1" applyBorder="1" applyAlignment="1">
      <alignment horizontal="center" vertical="center"/>
    </xf>
    <xf numFmtId="9" fontId="18" fillId="12" borderId="17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0" fontId="4" fillId="7" borderId="1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10" borderId="11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left" vertical="center"/>
    </xf>
    <xf numFmtId="0" fontId="4" fillId="10" borderId="14" xfId="0" applyFont="1" applyFill="1" applyBorder="1" applyAlignment="1">
      <alignment horizontal="left" vertical="center"/>
    </xf>
    <xf numFmtId="0" fontId="12" fillId="7" borderId="11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/>
    </xf>
    <xf numFmtId="0" fontId="18" fillId="12" borderId="20" xfId="0" applyFont="1" applyFill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showGridLines="0" tabSelected="1" zoomScaleNormal="100" workbookViewId="0">
      <selection sqref="A1:K1"/>
    </sheetView>
  </sheetViews>
  <sheetFormatPr defaultColWidth="9.85546875" defaultRowHeight="15" x14ac:dyDescent="0.25"/>
  <cols>
    <col min="1" max="1" width="22.7109375" bestFit="1" customWidth="1"/>
    <col min="2" max="2" width="7.5703125" customWidth="1"/>
    <col min="3" max="3" width="17.140625" customWidth="1"/>
    <col min="4" max="4" width="16.85546875" customWidth="1"/>
    <col min="5" max="5" width="17.140625" customWidth="1"/>
    <col min="6" max="6" width="17.5703125" customWidth="1"/>
    <col min="7" max="7" width="18.28515625" bestFit="1" customWidth="1"/>
    <col min="8" max="8" width="12.85546875" customWidth="1"/>
    <col min="9" max="10" width="13" customWidth="1"/>
    <col min="11" max="11" width="16" style="4" customWidth="1"/>
  </cols>
  <sheetData>
    <row r="1" spans="1:11" ht="29.25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x14ac:dyDescent="0.25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7"/>
    </row>
    <row r="3" spans="1:11" ht="21" x14ac:dyDescent="0.25">
      <c r="A3" s="68" t="s">
        <v>48</v>
      </c>
      <c r="B3" s="69"/>
      <c r="C3" s="69"/>
      <c r="D3" s="69"/>
      <c r="E3" s="69"/>
      <c r="F3" s="69"/>
      <c r="G3" s="69"/>
      <c r="H3" s="69"/>
      <c r="I3" s="69"/>
      <c r="J3" s="69"/>
      <c r="K3" s="70"/>
    </row>
    <row r="4" spans="1:1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9"/>
    </row>
    <row r="5" spans="1:11" ht="27" customHeight="1" x14ac:dyDescent="0.25">
      <c r="A5" s="74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6"/>
    </row>
    <row r="6" spans="1:11" ht="18" x14ac:dyDescent="0.25">
      <c r="A6" s="71" t="s">
        <v>32</v>
      </c>
      <c r="B6" s="72"/>
      <c r="C6" s="72"/>
      <c r="D6" s="72"/>
      <c r="E6" s="72"/>
      <c r="F6" s="72"/>
      <c r="G6" s="72"/>
      <c r="H6" s="72"/>
      <c r="I6" s="72"/>
      <c r="J6" s="72"/>
      <c r="K6" s="73"/>
    </row>
    <row r="7" spans="1:11" ht="18" x14ac:dyDescent="0.25">
      <c r="A7" s="49" t="s">
        <v>2</v>
      </c>
      <c r="B7" s="50"/>
      <c r="C7" s="47" t="s">
        <v>26</v>
      </c>
      <c r="D7" s="47" t="s">
        <v>27</v>
      </c>
      <c r="E7" s="47" t="s">
        <v>28</v>
      </c>
      <c r="F7" s="47" t="s">
        <v>29</v>
      </c>
      <c r="G7" s="94" t="s">
        <v>3</v>
      </c>
      <c r="H7" s="47" t="s">
        <v>4</v>
      </c>
      <c r="I7" s="2" t="s">
        <v>5</v>
      </c>
      <c r="J7" s="2" t="s">
        <v>6</v>
      </c>
      <c r="K7" s="14" t="s">
        <v>7</v>
      </c>
    </row>
    <row r="8" spans="1:11" ht="18" x14ac:dyDescent="0.25">
      <c r="A8" s="60" t="s">
        <v>19</v>
      </c>
      <c r="B8" s="61"/>
      <c r="C8" s="48"/>
      <c r="D8" s="48"/>
      <c r="E8" s="48"/>
      <c r="F8" s="48"/>
      <c r="G8" s="95"/>
      <c r="H8" s="48"/>
      <c r="I8" s="25" t="s">
        <v>7</v>
      </c>
      <c r="J8" s="25" t="s">
        <v>8</v>
      </c>
      <c r="K8" s="26" t="s">
        <v>9</v>
      </c>
    </row>
    <row r="9" spans="1:11" ht="18" x14ac:dyDescent="0.25">
      <c r="A9" s="16" t="s">
        <v>18</v>
      </c>
      <c r="B9" s="7">
        <v>317.89999999999998</v>
      </c>
      <c r="C9" s="8">
        <v>81</v>
      </c>
      <c r="D9" s="8">
        <f>122-81</f>
        <v>41</v>
      </c>
      <c r="E9" s="8"/>
      <c r="F9" s="8"/>
      <c r="G9" s="12">
        <f t="shared" ref="G9:G16" si="0">SUM(C9:F9)</f>
        <v>122</v>
      </c>
      <c r="H9" s="6"/>
      <c r="I9" s="5">
        <f t="shared" ref="I9:I18" si="1">G9+H9</f>
        <v>122</v>
      </c>
      <c r="J9" s="12">
        <v>350</v>
      </c>
      <c r="K9" s="17">
        <f t="shared" ref="K9:K18" si="2">I9/J9</f>
        <v>0.34857142857142859</v>
      </c>
    </row>
    <row r="10" spans="1:11" ht="18" x14ac:dyDescent="0.25">
      <c r="A10" s="16" t="s">
        <v>10</v>
      </c>
      <c r="B10" s="7">
        <v>442</v>
      </c>
      <c r="C10" s="8">
        <v>58</v>
      </c>
      <c r="D10" s="8">
        <f>89-C10</f>
        <v>31</v>
      </c>
      <c r="E10" s="8"/>
      <c r="F10" s="8"/>
      <c r="G10" s="12">
        <f t="shared" si="0"/>
        <v>89</v>
      </c>
      <c r="H10" s="6"/>
      <c r="I10" s="5">
        <f t="shared" si="1"/>
        <v>89</v>
      </c>
      <c r="J10" s="12">
        <v>200</v>
      </c>
      <c r="K10" s="17">
        <f t="shared" si="2"/>
        <v>0.44500000000000001</v>
      </c>
    </row>
    <row r="11" spans="1:11" ht="18" x14ac:dyDescent="0.25">
      <c r="A11" s="16" t="s">
        <v>30</v>
      </c>
      <c r="B11" s="7">
        <v>416.5</v>
      </c>
      <c r="C11" s="8">
        <v>263</v>
      </c>
      <c r="D11" s="8">
        <v>267</v>
      </c>
      <c r="E11" s="8"/>
      <c r="F11" s="8"/>
      <c r="G11" s="12">
        <f t="shared" si="0"/>
        <v>530</v>
      </c>
      <c r="H11" s="6"/>
      <c r="I11" s="5">
        <f t="shared" si="1"/>
        <v>530</v>
      </c>
      <c r="J11" s="12">
        <v>860</v>
      </c>
      <c r="K11" s="17">
        <f t="shared" si="2"/>
        <v>0.61627906976744184</v>
      </c>
    </row>
    <row r="12" spans="1:11" ht="18" x14ac:dyDescent="0.25">
      <c r="A12" s="16" t="s">
        <v>31</v>
      </c>
      <c r="B12" s="7">
        <v>637.5</v>
      </c>
      <c r="C12" s="8">
        <v>20</v>
      </c>
      <c r="D12" s="8">
        <v>7</v>
      </c>
      <c r="E12" s="8"/>
      <c r="F12" s="8"/>
      <c r="G12" s="12">
        <f t="shared" si="0"/>
        <v>27</v>
      </c>
      <c r="H12" s="6"/>
      <c r="I12" s="5">
        <f t="shared" si="1"/>
        <v>27</v>
      </c>
      <c r="J12" s="12">
        <v>110</v>
      </c>
      <c r="K12" s="17">
        <f t="shared" si="2"/>
        <v>0.24545454545454545</v>
      </c>
    </row>
    <row r="13" spans="1:11" ht="18" x14ac:dyDescent="0.25">
      <c r="A13" s="16" t="s">
        <v>22</v>
      </c>
      <c r="B13" s="7">
        <v>382.5</v>
      </c>
      <c r="C13" s="8">
        <f>63+50</f>
        <v>113</v>
      </c>
      <c r="D13" s="8">
        <f>236-C13</f>
        <v>123</v>
      </c>
      <c r="E13" s="8"/>
      <c r="F13" s="8"/>
      <c r="G13" s="12">
        <f t="shared" si="0"/>
        <v>236</v>
      </c>
      <c r="H13" s="6"/>
      <c r="I13" s="5">
        <f t="shared" si="1"/>
        <v>236</v>
      </c>
      <c r="J13" s="12">
        <v>200</v>
      </c>
      <c r="K13" s="17">
        <f t="shared" si="2"/>
        <v>1.18</v>
      </c>
    </row>
    <row r="14" spans="1:11" ht="18" x14ac:dyDescent="0.25">
      <c r="A14" s="16" t="s">
        <v>24</v>
      </c>
      <c r="B14" s="7">
        <v>331.5</v>
      </c>
      <c r="C14" s="8">
        <v>30</v>
      </c>
      <c r="D14" s="8">
        <v>40</v>
      </c>
      <c r="E14" s="8"/>
      <c r="F14" s="8"/>
      <c r="G14" s="12">
        <f t="shared" si="0"/>
        <v>70</v>
      </c>
      <c r="H14" s="6"/>
      <c r="I14" s="5">
        <f t="shared" si="1"/>
        <v>70</v>
      </c>
      <c r="J14" s="12">
        <v>200</v>
      </c>
      <c r="K14" s="17">
        <f t="shared" si="2"/>
        <v>0.35</v>
      </c>
    </row>
    <row r="15" spans="1:11" ht="18" x14ac:dyDescent="0.25">
      <c r="A15" s="16" t="s">
        <v>25</v>
      </c>
      <c r="B15" s="7">
        <v>275.39999999999998</v>
      </c>
      <c r="C15" s="8">
        <v>146</v>
      </c>
      <c r="D15" s="8">
        <f>185-C15</f>
        <v>39</v>
      </c>
      <c r="E15" s="8"/>
      <c r="F15" s="8"/>
      <c r="G15" s="12">
        <f t="shared" si="0"/>
        <v>185</v>
      </c>
      <c r="H15" s="6"/>
      <c r="I15" s="5">
        <f t="shared" si="1"/>
        <v>185</v>
      </c>
      <c r="J15" s="12">
        <v>195</v>
      </c>
      <c r="K15" s="17">
        <f t="shared" si="2"/>
        <v>0.94871794871794868</v>
      </c>
    </row>
    <row r="16" spans="1:11" ht="18" x14ac:dyDescent="0.25">
      <c r="A16" s="16" t="s">
        <v>23</v>
      </c>
      <c r="B16" s="7">
        <v>484.5</v>
      </c>
      <c r="C16" s="8"/>
      <c r="D16" s="8"/>
      <c r="E16" s="8"/>
      <c r="F16" s="8"/>
      <c r="G16" s="12">
        <f t="shared" si="0"/>
        <v>0</v>
      </c>
      <c r="H16" s="6"/>
      <c r="I16" s="5">
        <f t="shared" si="1"/>
        <v>0</v>
      </c>
      <c r="J16" s="12">
        <v>0</v>
      </c>
      <c r="K16" s="17" t="e">
        <f t="shared" si="2"/>
        <v>#DIV/0!</v>
      </c>
    </row>
    <row r="17" spans="1:11" ht="18" x14ac:dyDescent="0.25">
      <c r="A17" s="53" t="s">
        <v>11</v>
      </c>
      <c r="B17" s="54"/>
      <c r="C17" s="1">
        <f>SUM(C9:C16)</f>
        <v>711</v>
      </c>
      <c r="D17" s="1">
        <f>SUM(D9:D16)</f>
        <v>548</v>
      </c>
      <c r="E17" s="1">
        <f>SUM(E9:E16)</f>
        <v>0</v>
      </c>
      <c r="F17" s="1">
        <f>SUM(F9:F16)</f>
        <v>0</v>
      </c>
      <c r="G17" s="1">
        <f>SUM(C17:F17)</f>
        <v>1259</v>
      </c>
      <c r="H17" s="1">
        <f>SUM(H9:H16)</f>
        <v>0</v>
      </c>
      <c r="I17" s="1">
        <f t="shared" si="1"/>
        <v>1259</v>
      </c>
      <c r="J17" s="1">
        <f>SUM(J9:J16)</f>
        <v>2115</v>
      </c>
      <c r="K17" s="15">
        <f t="shared" si="2"/>
        <v>0.59527186761229312</v>
      </c>
    </row>
    <row r="18" spans="1:11" ht="18" x14ac:dyDescent="0.25">
      <c r="A18" s="55" t="s">
        <v>12</v>
      </c>
      <c r="B18" s="56"/>
      <c r="C18" s="3">
        <f>SUMPRODUCT($B9:$B16*C9:C16)</f>
        <v>267051.3</v>
      </c>
      <c r="D18" s="3">
        <f>SUMPRODUCT($B9:$B16*D9:D16)</f>
        <v>213452</v>
      </c>
      <c r="E18" s="3">
        <f>SUMPRODUCT($B9:$B16*E9:E16)</f>
        <v>0</v>
      </c>
      <c r="F18" s="3">
        <f>SUMPRODUCT($B9:$B16*F9:F16)</f>
        <v>0</v>
      </c>
      <c r="G18" s="3">
        <f>SUM(C18:F18)</f>
        <v>480503.3</v>
      </c>
      <c r="H18" s="3">
        <f>SUMPRODUCT($B9:$B16*H9:H16)</f>
        <v>0</v>
      </c>
      <c r="I18" s="3">
        <f t="shared" si="1"/>
        <v>480503.3</v>
      </c>
      <c r="J18" s="3">
        <f>SUMPRODUCT($B9:$B16*J9:J16)</f>
        <v>824483</v>
      </c>
      <c r="K18" s="14">
        <f t="shared" si="2"/>
        <v>0.58279345965896201</v>
      </c>
    </row>
    <row r="19" spans="1:11" ht="18" x14ac:dyDescent="0.25">
      <c r="A19" s="57" t="s">
        <v>20</v>
      </c>
      <c r="B19" s="58"/>
      <c r="C19" s="58"/>
      <c r="D19" s="58"/>
      <c r="E19" s="58"/>
      <c r="F19" s="58"/>
      <c r="G19" s="58"/>
      <c r="H19" s="58"/>
      <c r="I19" s="58"/>
      <c r="J19" s="58"/>
      <c r="K19" s="59"/>
    </row>
    <row r="20" spans="1:11" ht="18" x14ac:dyDescent="0.25">
      <c r="A20" s="16" t="s">
        <v>21</v>
      </c>
      <c r="B20" s="7">
        <v>977.5</v>
      </c>
      <c r="C20" s="8"/>
      <c r="D20" s="8"/>
      <c r="E20" s="8"/>
      <c r="F20" s="8"/>
      <c r="G20" s="12">
        <f>SUM(C20:F20)</f>
        <v>0</v>
      </c>
      <c r="H20" s="6"/>
      <c r="I20" s="5">
        <f t="shared" ref="I20:I21" si="3">G20+H20</f>
        <v>0</v>
      </c>
      <c r="J20" s="12">
        <v>0</v>
      </c>
      <c r="K20" s="17" t="e">
        <f t="shared" ref="K20:K29" si="4">I20/J20</f>
        <v>#DIV/0!</v>
      </c>
    </row>
    <row r="21" spans="1:11" ht="18" x14ac:dyDescent="0.25">
      <c r="A21" s="16" t="s">
        <v>13</v>
      </c>
      <c r="B21" s="7">
        <v>807.5</v>
      </c>
      <c r="C21" s="8">
        <v>16</v>
      </c>
      <c r="D21" s="8">
        <v>10</v>
      </c>
      <c r="E21" s="8"/>
      <c r="F21" s="8"/>
      <c r="G21" s="12">
        <f t="shared" ref="G21" si="5">SUM(C21:F21)</f>
        <v>26</v>
      </c>
      <c r="H21" s="6"/>
      <c r="I21" s="5">
        <f t="shared" si="3"/>
        <v>26</v>
      </c>
      <c r="J21" s="12">
        <v>150</v>
      </c>
      <c r="K21" s="17">
        <f t="shared" si="4"/>
        <v>0.17333333333333334</v>
      </c>
    </row>
    <row r="22" spans="1:11" ht="18" x14ac:dyDescent="0.25">
      <c r="A22" s="16" t="s">
        <v>14</v>
      </c>
      <c r="B22" s="7">
        <v>365.5</v>
      </c>
      <c r="C22" s="8"/>
      <c r="D22" s="8">
        <v>6</v>
      </c>
      <c r="E22" s="8"/>
      <c r="F22" s="8"/>
      <c r="G22" s="12">
        <f>SUM(C22:F22)</f>
        <v>6</v>
      </c>
      <c r="H22" s="6"/>
      <c r="I22" s="5">
        <f>G22+H22</f>
        <v>6</v>
      </c>
      <c r="J22" s="12">
        <v>150</v>
      </c>
      <c r="K22" s="17">
        <f t="shared" si="4"/>
        <v>0.04</v>
      </c>
    </row>
    <row r="23" spans="1:11" ht="18" x14ac:dyDescent="0.25">
      <c r="A23" s="39" t="s">
        <v>46</v>
      </c>
      <c r="B23" s="7">
        <v>1402.5</v>
      </c>
      <c r="C23" s="8"/>
      <c r="D23" s="8"/>
      <c r="E23" s="8"/>
      <c r="F23" s="8"/>
      <c r="G23" s="12">
        <f>SUM(C23:F23)</f>
        <v>0</v>
      </c>
      <c r="H23" s="6"/>
      <c r="I23" s="5">
        <f t="shared" ref="I23:I25" si="6">G23+H23</f>
        <v>0</v>
      </c>
      <c r="J23" s="12">
        <v>0</v>
      </c>
      <c r="K23" s="17" t="e">
        <f t="shared" ref="K23:K25" si="7">I23/J23</f>
        <v>#DIV/0!</v>
      </c>
    </row>
    <row r="24" spans="1:11" ht="18" x14ac:dyDescent="0.25">
      <c r="A24" s="40" t="s">
        <v>47</v>
      </c>
      <c r="B24" s="7">
        <v>1955</v>
      </c>
      <c r="C24" s="8"/>
      <c r="D24" s="8"/>
      <c r="E24" s="8"/>
      <c r="F24" s="8"/>
      <c r="G24" s="12">
        <f t="shared" ref="G24" si="8">SUM(C24:F24)</f>
        <v>0</v>
      </c>
      <c r="H24" s="6"/>
      <c r="I24" s="5">
        <f t="shared" si="6"/>
        <v>0</v>
      </c>
      <c r="J24" s="12">
        <v>0</v>
      </c>
      <c r="K24" s="17" t="e">
        <f t="shared" si="7"/>
        <v>#DIV/0!</v>
      </c>
    </row>
    <row r="25" spans="1:11" ht="18" x14ac:dyDescent="0.25">
      <c r="A25" s="41" t="s">
        <v>37</v>
      </c>
      <c r="B25" s="7">
        <v>595</v>
      </c>
      <c r="C25" s="8"/>
      <c r="D25" s="8"/>
      <c r="E25" s="8"/>
      <c r="F25" s="8"/>
      <c r="G25" s="12">
        <f>SUM(C25:F25)</f>
        <v>0</v>
      </c>
      <c r="H25" s="6"/>
      <c r="I25" s="5">
        <f t="shared" si="6"/>
        <v>0</v>
      </c>
      <c r="J25" s="12">
        <v>0</v>
      </c>
      <c r="K25" s="17" t="e">
        <f t="shared" si="7"/>
        <v>#DIV/0!</v>
      </c>
    </row>
    <row r="26" spans="1:11" ht="18" x14ac:dyDescent="0.25">
      <c r="A26" s="53" t="s">
        <v>11</v>
      </c>
      <c r="B26" s="54"/>
      <c r="C26" s="1">
        <f>SUM(C20:C25)</f>
        <v>16</v>
      </c>
      <c r="D26" s="1">
        <f t="shared" ref="D26:F26" si="9">SUM(D20:D25)</f>
        <v>16</v>
      </c>
      <c r="E26" s="1">
        <f>SUM(E20:E25)</f>
        <v>0</v>
      </c>
      <c r="F26" s="1">
        <f t="shared" si="9"/>
        <v>0</v>
      </c>
      <c r="G26" s="1">
        <f>SUM(C26:F26)</f>
        <v>32</v>
      </c>
      <c r="H26" s="1">
        <f>SUM(H20:H25)</f>
        <v>0</v>
      </c>
      <c r="I26" s="1">
        <f>G26+H26</f>
        <v>32</v>
      </c>
      <c r="J26" s="1">
        <f>SUM(J20:J25)</f>
        <v>300</v>
      </c>
      <c r="K26" s="15">
        <f t="shared" si="4"/>
        <v>0.10666666666666667</v>
      </c>
    </row>
    <row r="27" spans="1:11" ht="18" x14ac:dyDescent="0.25">
      <c r="A27" s="55" t="s">
        <v>15</v>
      </c>
      <c r="B27" s="56"/>
      <c r="C27" s="3">
        <f>SUMPRODUCT($B20:$B25*C20:C25)</f>
        <v>12920</v>
      </c>
      <c r="D27" s="3">
        <f>SUMPRODUCT($B20:$B22*D20:D22)</f>
        <v>10268</v>
      </c>
      <c r="E27" s="3">
        <f>SUMPRODUCT($B20:$B25*E20:E25)</f>
        <v>0</v>
      </c>
      <c r="F27" s="3">
        <f>SUMPRODUCT($B20:$B22*F20:F22)</f>
        <v>0</v>
      </c>
      <c r="G27" s="3">
        <f>SUM(C27:F27)</f>
        <v>23188</v>
      </c>
      <c r="H27" s="3">
        <f>SUMPRODUCT($B20:$B22*H20:H22)</f>
        <v>0</v>
      </c>
      <c r="I27" s="3">
        <f>G27+H27</f>
        <v>23188</v>
      </c>
      <c r="J27" s="3">
        <f>SUMPRODUCT($B20:$B22*J20:J22)</f>
        <v>175950</v>
      </c>
      <c r="K27" s="14">
        <f t="shared" si="4"/>
        <v>0.13178743961352657</v>
      </c>
    </row>
    <row r="28" spans="1:11" ht="18" x14ac:dyDescent="0.25">
      <c r="A28" s="53" t="s">
        <v>16</v>
      </c>
      <c r="B28" s="54"/>
      <c r="C28" s="1">
        <f t="shared" ref="C28:F29" si="10">C17+C26</f>
        <v>727</v>
      </c>
      <c r="D28" s="1">
        <f t="shared" si="10"/>
        <v>564</v>
      </c>
      <c r="E28" s="1">
        <f>E17+E26</f>
        <v>0</v>
      </c>
      <c r="F28" s="1">
        <f t="shared" si="10"/>
        <v>0</v>
      </c>
      <c r="G28" s="1">
        <f>SUM(C28:F28)</f>
        <v>1291</v>
      </c>
      <c r="H28" s="1">
        <f>H17+H26</f>
        <v>0</v>
      </c>
      <c r="I28" s="1">
        <f>G28+H28</f>
        <v>1291</v>
      </c>
      <c r="J28" s="1">
        <f>J17+J26</f>
        <v>2415</v>
      </c>
      <c r="K28" s="15">
        <f t="shared" si="4"/>
        <v>0.53457556935817807</v>
      </c>
    </row>
    <row r="29" spans="1:11" ht="18.75" thickBot="1" x14ac:dyDescent="0.3">
      <c r="A29" s="51" t="s">
        <v>17</v>
      </c>
      <c r="B29" s="52"/>
      <c r="C29" s="22">
        <f t="shared" si="10"/>
        <v>279971.3</v>
      </c>
      <c r="D29" s="22">
        <f t="shared" si="10"/>
        <v>223720</v>
      </c>
      <c r="E29" s="22">
        <f>E18+E27</f>
        <v>0</v>
      </c>
      <c r="F29" s="22">
        <f t="shared" si="10"/>
        <v>0</v>
      </c>
      <c r="G29" s="22">
        <f>SUM(C29:F29)</f>
        <v>503691.3</v>
      </c>
      <c r="H29" s="22">
        <f>H18+H27</f>
        <v>0</v>
      </c>
      <c r="I29" s="22">
        <f>G29+H29</f>
        <v>503691.3</v>
      </c>
      <c r="J29" s="22">
        <f>J18+J27</f>
        <v>1000433</v>
      </c>
      <c r="K29" s="23">
        <f t="shared" si="4"/>
        <v>0.50347329606280478</v>
      </c>
    </row>
    <row r="30" spans="1:11" ht="15.75" thickBo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3"/>
    </row>
    <row r="31" spans="1:11" ht="29.25" x14ac:dyDescent="0.25">
      <c r="A31" s="62" t="s">
        <v>0</v>
      </c>
      <c r="B31" s="63"/>
      <c r="C31" s="63"/>
      <c r="D31" s="63"/>
      <c r="E31" s="63"/>
      <c r="F31" s="63"/>
      <c r="G31" s="63"/>
      <c r="H31" s="63"/>
      <c r="I31" s="63"/>
      <c r="J31" s="63"/>
      <c r="K31" s="64"/>
    </row>
    <row r="32" spans="1:11" ht="21" x14ac:dyDescent="0.25">
      <c r="A32" s="65" t="s">
        <v>1</v>
      </c>
      <c r="B32" s="66"/>
      <c r="C32" s="66"/>
      <c r="D32" s="66"/>
      <c r="E32" s="66"/>
      <c r="F32" s="66"/>
      <c r="G32" s="66"/>
      <c r="H32" s="66"/>
      <c r="I32" s="66"/>
      <c r="J32" s="66"/>
      <c r="K32" s="67"/>
    </row>
    <row r="33" spans="1:11" ht="21" x14ac:dyDescent="0.25">
      <c r="A33" s="68" t="s">
        <v>48</v>
      </c>
      <c r="B33" s="69"/>
      <c r="C33" s="69"/>
      <c r="D33" s="69"/>
      <c r="E33" s="69"/>
      <c r="F33" s="69"/>
      <c r="G33" s="69"/>
      <c r="H33" s="69"/>
      <c r="I33" s="69"/>
      <c r="J33" s="69"/>
      <c r="K33" s="70"/>
    </row>
    <row r="34" spans="1:11" ht="18" x14ac:dyDescent="0.25">
      <c r="A34" s="71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  <row r="35" spans="1:11" ht="18" x14ac:dyDescent="0.25">
      <c r="A35" s="49" t="s">
        <v>2</v>
      </c>
      <c r="B35" s="50"/>
      <c r="C35" s="47" t="s">
        <v>26</v>
      </c>
      <c r="D35" s="47" t="s">
        <v>27</v>
      </c>
      <c r="E35" s="47" t="s">
        <v>28</v>
      </c>
      <c r="F35" s="47" t="s">
        <v>29</v>
      </c>
      <c r="G35" s="84" t="s">
        <v>3</v>
      </c>
      <c r="H35" s="47" t="s">
        <v>4</v>
      </c>
      <c r="I35" s="2" t="s">
        <v>5</v>
      </c>
      <c r="J35" s="2" t="s">
        <v>6</v>
      </c>
      <c r="K35" s="14" t="s">
        <v>7</v>
      </c>
    </row>
    <row r="36" spans="1:11" ht="18" x14ac:dyDescent="0.25">
      <c r="A36" s="60" t="s">
        <v>19</v>
      </c>
      <c r="B36" s="61"/>
      <c r="C36" s="48"/>
      <c r="D36" s="48"/>
      <c r="E36" s="48"/>
      <c r="F36" s="48"/>
      <c r="G36" s="48"/>
      <c r="H36" s="48"/>
      <c r="I36" s="25" t="s">
        <v>7</v>
      </c>
      <c r="J36" s="25" t="s">
        <v>8</v>
      </c>
      <c r="K36" s="26" t="s">
        <v>9</v>
      </c>
    </row>
    <row r="37" spans="1:11" ht="18" x14ac:dyDescent="0.25">
      <c r="A37" s="16" t="s">
        <v>18</v>
      </c>
      <c r="B37" s="7">
        <v>317.89999999999998</v>
      </c>
      <c r="C37" s="8">
        <v>34</v>
      </c>
      <c r="D37" s="8">
        <f>79-C37</f>
        <v>45</v>
      </c>
      <c r="E37" s="8"/>
      <c r="F37" s="8"/>
      <c r="G37" s="12">
        <f t="shared" ref="G37:G44" si="11">SUM(C37:F37)</f>
        <v>79</v>
      </c>
      <c r="H37" s="6"/>
      <c r="I37" s="5">
        <f t="shared" ref="I37:I46" si="12">G37+H37</f>
        <v>79</v>
      </c>
      <c r="J37" s="12">
        <v>350</v>
      </c>
      <c r="K37" s="17">
        <f t="shared" ref="K37:K46" si="13">I37/J37</f>
        <v>0.2257142857142857</v>
      </c>
    </row>
    <row r="38" spans="1:11" ht="18" x14ac:dyDescent="0.25">
      <c r="A38" s="16" t="s">
        <v>10</v>
      </c>
      <c r="B38" s="7">
        <v>442</v>
      </c>
      <c r="C38" s="8">
        <v>6</v>
      </c>
      <c r="D38" s="8">
        <v>6</v>
      </c>
      <c r="E38" s="8"/>
      <c r="F38" s="8"/>
      <c r="G38" s="12">
        <f t="shared" si="11"/>
        <v>12</v>
      </c>
      <c r="H38" s="6"/>
      <c r="I38" s="5">
        <f t="shared" si="12"/>
        <v>12</v>
      </c>
      <c r="J38" s="12">
        <v>200</v>
      </c>
      <c r="K38" s="17">
        <f t="shared" si="13"/>
        <v>0.06</v>
      </c>
    </row>
    <row r="39" spans="1:11" ht="18" x14ac:dyDescent="0.25">
      <c r="A39" s="16" t="s">
        <v>30</v>
      </c>
      <c r="B39" s="7">
        <v>416.5</v>
      </c>
      <c r="C39" s="8">
        <v>97</v>
      </c>
      <c r="D39" s="8">
        <v>-11</v>
      </c>
      <c r="E39" s="8"/>
      <c r="F39" s="8"/>
      <c r="G39" s="12">
        <f t="shared" si="11"/>
        <v>86</v>
      </c>
      <c r="H39" s="6"/>
      <c r="I39" s="5">
        <f t="shared" si="12"/>
        <v>86</v>
      </c>
      <c r="J39" s="12">
        <v>860</v>
      </c>
      <c r="K39" s="17">
        <f t="shared" si="13"/>
        <v>0.1</v>
      </c>
    </row>
    <row r="40" spans="1:11" ht="18" x14ac:dyDescent="0.25">
      <c r="A40" s="16" t="s">
        <v>31</v>
      </c>
      <c r="B40" s="7">
        <v>637.5</v>
      </c>
      <c r="C40" s="8">
        <v>1</v>
      </c>
      <c r="D40" s="8"/>
      <c r="E40" s="8"/>
      <c r="F40" s="8"/>
      <c r="G40" s="12">
        <f t="shared" si="11"/>
        <v>1</v>
      </c>
      <c r="H40" s="6"/>
      <c r="I40" s="5">
        <f t="shared" si="12"/>
        <v>1</v>
      </c>
      <c r="J40" s="12">
        <v>110</v>
      </c>
      <c r="K40" s="17">
        <f t="shared" si="13"/>
        <v>9.0909090909090905E-3</v>
      </c>
    </row>
    <row r="41" spans="1:11" ht="18" x14ac:dyDescent="0.25">
      <c r="A41" s="16" t="s">
        <v>22</v>
      </c>
      <c r="B41" s="7">
        <v>382.5</v>
      </c>
      <c r="C41" s="8">
        <v>22</v>
      </c>
      <c r="D41" s="8">
        <f>36-C41</f>
        <v>14</v>
      </c>
      <c r="E41" s="8"/>
      <c r="F41" s="8"/>
      <c r="G41" s="12">
        <f t="shared" si="11"/>
        <v>36</v>
      </c>
      <c r="H41" s="6"/>
      <c r="I41" s="5">
        <f t="shared" si="12"/>
        <v>36</v>
      </c>
      <c r="J41" s="12">
        <v>200</v>
      </c>
      <c r="K41" s="17">
        <f t="shared" si="13"/>
        <v>0.18</v>
      </c>
    </row>
    <row r="42" spans="1:11" ht="18" x14ac:dyDescent="0.25">
      <c r="A42" s="16" t="s">
        <v>24</v>
      </c>
      <c r="B42" s="7">
        <v>331.5</v>
      </c>
      <c r="C42" s="8">
        <v>20</v>
      </c>
      <c r="D42" s="8">
        <f>71-C42</f>
        <v>51</v>
      </c>
      <c r="E42" s="8"/>
      <c r="F42" s="8"/>
      <c r="G42" s="12">
        <f t="shared" si="11"/>
        <v>71</v>
      </c>
      <c r="H42" s="6"/>
      <c r="I42" s="5">
        <f t="shared" si="12"/>
        <v>71</v>
      </c>
      <c r="J42" s="12">
        <v>200</v>
      </c>
      <c r="K42" s="17">
        <f t="shared" si="13"/>
        <v>0.35499999999999998</v>
      </c>
    </row>
    <row r="43" spans="1:11" ht="18" x14ac:dyDescent="0.25">
      <c r="A43" s="16" t="s">
        <v>25</v>
      </c>
      <c r="B43" s="7">
        <v>275.39999999999998</v>
      </c>
      <c r="C43" s="8">
        <v>29</v>
      </c>
      <c r="D43" s="8">
        <f>45-C43</f>
        <v>16</v>
      </c>
      <c r="E43" s="8"/>
      <c r="F43" s="8"/>
      <c r="G43" s="12">
        <f t="shared" si="11"/>
        <v>45</v>
      </c>
      <c r="H43" s="6"/>
      <c r="I43" s="5">
        <f t="shared" si="12"/>
        <v>45</v>
      </c>
      <c r="J43" s="12">
        <v>195</v>
      </c>
      <c r="K43" s="17">
        <f t="shared" si="13"/>
        <v>0.23076923076923078</v>
      </c>
    </row>
    <row r="44" spans="1:11" ht="18" x14ac:dyDescent="0.25">
      <c r="A44" s="16" t="s">
        <v>23</v>
      </c>
      <c r="B44" s="7">
        <v>484.5</v>
      </c>
      <c r="C44" s="8"/>
      <c r="D44" s="8"/>
      <c r="E44" s="8"/>
      <c r="F44" s="8"/>
      <c r="G44" s="12">
        <f t="shared" si="11"/>
        <v>0</v>
      </c>
      <c r="H44" s="6"/>
      <c r="I44" s="5">
        <f t="shared" si="12"/>
        <v>0</v>
      </c>
      <c r="J44" s="12">
        <v>0</v>
      </c>
      <c r="K44" s="17" t="e">
        <f t="shared" si="13"/>
        <v>#DIV/0!</v>
      </c>
    </row>
    <row r="45" spans="1:11" ht="18" x14ac:dyDescent="0.25">
      <c r="A45" s="53" t="s">
        <v>11</v>
      </c>
      <c r="B45" s="54"/>
      <c r="C45" s="1">
        <f>SUM(C37:C44)</f>
        <v>209</v>
      </c>
      <c r="D45" s="1">
        <f>SUM(D37:D44)</f>
        <v>121</v>
      </c>
      <c r="E45" s="1">
        <f>SUM(E37:E44)</f>
        <v>0</v>
      </c>
      <c r="F45" s="1">
        <f>SUM(F37:F44)</f>
        <v>0</v>
      </c>
      <c r="G45" s="1">
        <f>SUM(C45:F45)</f>
        <v>330</v>
      </c>
      <c r="H45" s="1">
        <f>SUM(H37:H44)</f>
        <v>0</v>
      </c>
      <c r="I45" s="1">
        <f t="shared" si="12"/>
        <v>330</v>
      </c>
      <c r="J45" s="1">
        <f>SUM(J37:J44)</f>
        <v>2115</v>
      </c>
      <c r="K45" s="15">
        <f t="shared" si="13"/>
        <v>0.15602836879432624</v>
      </c>
    </row>
    <row r="46" spans="1:11" ht="18" x14ac:dyDescent="0.25">
      <c r="A46" s="55" t="s">
        <v>12</v>
      </c>
      <c r="B46" s="56"/>
      <c r="C46" s="3">
        <f>SUMPRODUCT($B37:$B44*C37:C44)</f>
        <v>77530.200000000012</v>
      </c>
      <c r="D46" s="3">
        <f>SUMPRODUCT($B37:$B44*D37:D44)</f>
        <v>39043.9</v>
      </c>
      <c r="E46" s="3">
        <f>SUMPRODUCT($B37:$B44*E37:E44)</f>
        <v>0</v>
      </c>
      <c r="F46" s="3">
        <f>SUMPRODUCT($B37:$B44*F37:F44)</f>
        <v>0</v>
      </c>
      <c r="G46" s="3">
        <f>SUM(C46:F46)</f>
        <v>116574.1</v>
      </c>
      <c r="H46" s="3">
        <f>SUMPRODUCT($B37:$B44*H37:H44)</f>
        <v>0</v>
      </c>
      <c r="I46" s="3">
        <f t="shared" si="12"/>
        <v>116574.1</v>
      </c>
      <c r="J46" s="3">
        <f>SUMPRODUCT($B37:$B44*J37:J44)</f>
        <v>824483</v>
      </c>
      <c r="K46" s="14">
        <f t="shared" si="13"/>
        <v>0.14139054413493063</v>
      </c>
    </row>
    <row r="47" spans="1:11" ht="18" x14ac:dyDescent="0.25">
      <c r="A47" s="57" t="s">
        <v>20</v>
      </c>
      <c r="B47" s="58"/>
      <c r="C47" s="58"/>
      <c r="D47" s="58"/>
      <c r="E47" s="58"/>
      <c r="F47" s="58"/>
      <c r="G47" s="58"/>
      <c r="H47" s="58"/>
      <c r="I47" s="58"/>
      <c r="J47" s="58"/>
      <c r="K47" s="59"/>
    </row>
    <row r="48" spans="1:11" ht="18" x14ac:dyDescent="0.25">
      <c r="A48" s="16" t="s">
        <v>21</v>
      </c>
      <c r="B48" s="7">
        <v>977.5</v>
      </c>
      <c r="C48" s="8"/>
      <c r="D48" s="8"/>
      <c r="E48" s="8"/>
      <c r="F48" s="8"/>
      <c r="G48" s="12">
        <f t="shared" ref="G48:G54" si="14">SUM(C48:F48)</f>
        <v>0</v>
      </c>
      <c r="H48" s="6"/>
      <c r="I48" s="5">
        <f t="shared" ref="I48:I52" si="15">G48+H48</f>
        <v>0</v>
      </c>
      <c r="J48" s="12">
        <v>0</v>
      </c>
      <c r="K48" s="17" t="e">
        <f t="shared" ref="K48:K54" si="16">I48/J48</f>
        <v>#DIV/0!</v>
      </c>
    </row>
    <row r="49" spans="1:11" ht="18" x14ac:dyDescent="0.25">
      <c r="A49" s="16" t="s">
        <v>13</v>
      </c>
      <c r="B49" s="7">
        <v>807.5</v>
      </c>
      <c r="C49" s="8"/>
      <c r="D49" s="8"/>
      <c r="E49" s="8"/>
      <c r="F49" s="8"/>
      <c r="G49" s="12">
        <f t="shared" si="14"/>
        <v>0</v>
      </c>
      <c r="H49" s="6"/>
      <c r="I49" s="5">
        <f t="shared" si="15"/>
        <v>0</v>
      </c>
      <c r="J49" s="12">
        <v>150</v>
      </c>
      <c r="K49" s="17">
        <f t="shared" si="16"/>
        <v>0</v>
      </c>
    </row>
    <row r="50" spans="1:11" ht="18" x14ac:dyDescent="0.25">
      <c r="A50" s="16" t="s">
        <v>14</v>
      </c>
      <c r="B50" s="7">
        <v>365.5</v>
      </c>
      <c r="C50" s="8"/>
      <c r="D50" s="29"/>
      <c r="E50" s="8"/>
      <c r="F50" s="8"/>
      <c r="G50" s="12">
        <f t="shared" si="14"/>
        <v>0</v>
      </c>
      <c r="H50" s="6"/>
      <c r="I50" s="5">
        <f t="shared" si="15"/>
        <v>0</v>
      </c>
      <c r="J50" s="12">
        <v>150</v>
      </c>
      <c r="K50" s="17">
        <f t="shared" si="16"/>
        <v>0</v>
      </c>
    </row>
    <row r="51" spans="1:11" ht="18" x14ac:dyDescent="0.25">
      <c r="A51" s="53" t="s">
        <v>11</v>
      </c>
      <c r="B51" s="54"/>
      <c r="C51" s="1">
        <f>SUM(C48:C50)</f>
        <v>0</v>
      </c>
      <c r="D51" s="1">
        <f>SUM(D48:D50)</f>
        <v>0</v>
      </c>
      <c r="E51" s="1">
        <f>SUM(E48:E50)</f>
        <v>0</v>
      </c>
      <c r="F51" s="1">
        <f>SUM(F48:F50)</f>
        <v>0</v>
      </c>
      <c r="G51" s="1">
        <f t="shared" si="14"/>
        <v>0</v>
      </c>
      <c r="H51" s="1">
        <f>SUM(H48:H50)</f>
        <v>0</v>
      </c>
      <c r="I51" s="1">
        <f t="shared" si="15"/>
        <v>0</v>
      </c>
      <c r="J51" s="1">
        <f>SUM(J48:J50)</f>
        <v>300</v>
      </c>
      <c r="K51" s="15">
        <f t="shared" si="16"/>
        <v>0</v>
      </c>
    </row>
    <row r="52" spans="1:11" ht="18" x14ac:dyDescent="0.25">
      <c r="A52" s="55" t="s">
        <v>15</v>
      </c>
      <c r="B52" s="56"/>
      <c r="C52" s="3">
        <f>SUMPRODUCT($B48:$B50*C48:C50)</f>
        <v>0</v>
      </c>
      <c r="D52" s="3">
        <f>SUMPRODUCT($B48:$B50*D48:D50)</f>
        <v>0</v>
      </c>
      <c r="E52" s="3">
        <f>SUMPRODUCT($B48:$B50*E48:E50)</f>
        <v>0</v>
      </c>
      <c r="F52" s="3">
        <f>SUMPRODUCT($B48:$B50*F48:F50)</f>
        <v>0</v>
      </c>
      <c r="G52" s="3">
        <f t="shared" si="14"/>
        <v>0</v>
      </c>
      <c r="H52" s="3">
        <f>SUMPRODUCT($B48:$B50*H48:H50)</f>
        <v>0</v>
      </c>
      <c r="I52" s="3">
        <f t="shared" si="15"/>
        <v>0</v>
      </c>
      <c r="J52" s="3">
        <f>SUMPRODUCT($B48:$B50*J48:J50)</f>
        <v>175950</v>
      </c>
      <c r="K52" s="14">
        <f t="shared" si="16"/>
        <v>0</v>
      </c>
    </row>
    <row r="53" spans="1:11" ht="18" x14ac:dyDescent="0.25">
      <c r="A53" s="53" t="s">
        <v>16</v>
      </c>
      <c r="B53" s="54"/>
      <c r="C53" s="1">
        <f t="shared" ref="C53:F54" si="17">C45+C51</f>
        <v>209</v>
      </c>
      <c r="D53" s="1">
        <f t="shared" si="17"/>
        <v>121</v>
      </c>
      <c r="E53" s="1">
        <f t="shared" si="17"/>
        <v>0</v>
      </c>
      <c r="F53" s="1">
        <f t="shared" si="17"/>
        <v>0</v>
      </c>
      <c r="G53" s="1">
        <f t="shared" si="14"/>
        <v>330</v>
      </c>
      <c r="H53" s="1">
        <f>H45+H51</f>
        <v>0</v>
      </c>
      <c r="I53" s="1">
        <v>0</v>
      </c>
      <c r="J53" s="1">
        <f>J45+J51</f>
        <v>2415</v>
      </c>
      <c r="K53" s="15">
        <f t="shared" si="16"/>
        <v>0</v>
      </c>
    </row>
    <row r="54" spans="1:11" ht="18.75" thickBot="1" x14ac:dyDescent="0.3">
      <c r="A54" s="51" t="s">
        <v>17</v>
      </c>
      <c r="B54" s="52"/>
      <c r="C54" s="22">
        <f t="shared" si="17"/>
        <v>77530.200000000012</v>
      </c>
      <c r="D54" s="22">
        <f t="shared" si="17"/>
        <v>39043.9</v>
      </c>
      <c r="E54" s="22">
        <f>E46+E52</f>
        <v>0</v>
      </c>
      <c r="F54" s="22">
        <f t="shared" si="17"/>
        <v>0</v>
      </c>
      <c r="G54" s="22">
        <f t="shared" si="14"/>
        <v>116574.1</v>
      </c>
      <c r="H54" s="22">
        <f>H46+H52</f>
        <v>0</v>
      </c>
      <c r="I54" s="22">
        <f>G54+H54</f>
        <v>116574.1</v>
      </c>
      <c r="J54" s="22">
        <f>J46+J52</f>
        <v>1000433</v>
      </c>
      <c r="K54" s="23">
        <f t="shared" si="16"/>
        <v>0.11652364526160174</v>
      </c>
    </row>
    <row r="55" spans="1:11" ht="15.75" thickBot="1" x14ac:dyDescent="0.3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3"/>
    </row>
    <row r="56" spans="1:11" ht="29.25" x14ac:dyDescent="0.25">
      <c r="A56" s="62" t="s">
        <v>0</v>
      </c>
      <c r="B56" s="63"/>
      <c r="C56" s="63"/>
      <c r="D56" s="63"/>
      <c r="E56" s="63"/>
      <c r="F56" s="63"/>
      <c r="G56" s="63"/>
      <c r="H56" s="63"/>
      <c r="I56" s="63"/>
      <c r="J56" s="63"/>
      <c r="K56" s="64"/>
    </row>
    <row r="57" spans="1:11" ht="21" x14ac:dyDescent="0.25">
      <c r="A57" s="65" t="s">
        <v>1</v>
      </c>
      <c r="B57" s="66"/>
      <c r="C57" s="66"/>
      <c r="D57" s="66"/>
      <c r="E57" s="66"/>
      <c r="F57" s="66"/>
      <c r="G57" s="66"/>
      <c r="H57" s="66"/>
      <c r="I57" s="66"/>
      <c r="J57" s="66"/>
      <c r="K57" s="67"/>
    </row>
    <row r="58" spans="1:11" ht="21" x14ac:dyDescent="0.25">
      <c r="A58" s="68" t="s">
        <v>48</v>
      </c>
      <c r="B58" s="69"/>
      <c r="C58" s="69"/>
      <c r="D58" s="69"/>
      <c r="E58" s="69"/>
      <c r="F58" s="69"/>
      <c r="G58" s="69"/>
      <c r="H58" s="69"/>
      <c r="I58" s="69"/>
      <c r="J58" s="69"/>
      <c r="K58" s="70"/>
    </row>
    <row r="59" spans="1:11" ht="18" x14ac:dyDescent="0.25">
      <c r="A59" s="71" t="s">
        <v>44</v>
      </c>
      <c r="B59" s="72"/>
      <c r="C59" s="72"/>
      <c r="D59" s="72"/>
      <c r="E59" s="72"/>
      <c r="F59" s="72"/>
      <c r="G59" s="72"/>
      <c r="H59" s="72"/>
      <c r="I59" s="72"/>
      <c r="J59" s="72"/>
      <c r="K59" s="73"/>
    </row>
    <row r="60" spans="1:11" ht="18" x14ac:dyDescent="0.25">
      <c r="A60" s="49" t="s">
        <v>2</v>
      </c>
      <c r="B60" s="50"/>
      <c r="C60" s="47" t="s">
        <v>26</v>
      </c>
      <c r="D60" s="47" t="s">
        <v>27</v>
      </c>
      <c r="E60" s="47" t="s">
        <v>28</v>
      </c>
      <c r="F60" s="47" t="s">
        <v>29</v>
      </c>
      <c r="G60" s="47" t="s">
        <v>3</v>
      </c>
      <c r="H60" s="47" t="s">
        <v>4</v>
      </c>
      <c r="I60" s="2" t="s">
        <v>5</v>
      </c>
      <c r="J60" s="2" t="s">
        <v>6</v>
      </c>
      <c r="K60" s="14" t="s">
        <v>7</v>
      </c>
    </row>
    <row r="61" spans="1:11" ht="18" x14ac:dyDescent="0.25">
      <c r="A61" s="60" t="s">
        <v>19</v>
      </c>
      <c r="B61" s="61"/>
      <c r="C61" s="48"/>
      <c r="D61" s="48"/>
      <c r="E61" s="48"/>
      <c r="F61" s="48"/>
      <c r="G61" s="48"/>
      <c r="H61" s="48"/>
      <c r="I61" s="30" t="s">
        <v>7</v>
      </c>
      <c r="J61" s="30" t="s">
        <v>8</v>
      </c>
      <c r="K61" s="15" t="s">
        <v>9</v>
      </c>
    </row>
    <row r="62" spans="1:11" ht="18" x14ac:dyDescent="0.25">
      <c r="A62" s="16" t="s">
        <v>18</v>
      </c>
      <c r="B62" s="7">
        <v>317.89999999999998</v>
      </c>
      <c r="C62" s="8">
        <f t="shared" ref="C62:F69" si="18">C9+C37</f>
        <v>115</v>
      </c>
      <c r="D62" s="8">
        <f t="shared" si="18"/>
        <v>86</v>
      </c>
      <c r="E62" s="8">
        <f t="shared" si="18"/>
        <v>0</v>
      </c>
      <c r="F62" s="8">
        <f t="shared" si="18"/>
        <v>0</v>
      </c>
      <c r="G62" s="13">
        <f>SUM(C62:F62)</f>
        <v>201</v>
      </c>
      <c r="H62" s="28">
        <f t="shared" ref="H62:H69" si="19">SUM(H9+H37)</f>
        <v>0</v>
      </c>
      <c r="I62" s="8">
        <f>SUM(G62:H62)</f>
        <v>201</v>
      </c>
      <c r="J62" s="12">
        <f t="shared" ref="J62:J69" si="20">SUM(J9+J37)</f>
        <v>700</v>
      </c>
      <c r="K62" s="17">
        <f t="shared" ref="K62:K68" si="21">I62/J62</f>
        <v>0.28714285714285714</v>
      </c>
    </row>
    <row r="63" spans="1:11" ht="18" x14ac:dyDescent="0.25">
      <c r="A63" s="16" t="s">
        <v>10</v>
      </c>
      <c r="B63" s="7">
        <v>442</v>
      </c>
      <c r="C63" s="8">
        <f t="shared" si="18"/>
        <v>64</v>
      </c>
      <c r="D63" s="8">
        <f t="shared" si="18"/>
        <v>37</v>
      </c>
      <c r="E63" s="8">
        <f t="shared" si="18"/>
        <v>0</v>
      </c>
      <c r="F63" s="8">
        <f t="shared" si="18"/>
        <v>0</v>
      </c>
      <c r="G63" s="13">
        <f t="shared" ref="G63:G69" si="22">SUM(C63:F63)</f>
        <v>101</v>
      </c>
      <c r="H63" s="28">
        <f t="shared" si="19"/>
        <v>0</v>
      </c>
      <c r="I63" s="8">
        <f t="shared" ref="I63:I69" si="23">SUM(G63:H63)</f>
        <v>101</v>
      </c>
      <c r="J63" s="12">
        <f t="shared" si="20"/>
        <v>400</v>
      </c>
      <c r="K63" s="17">
        <f t="shared" si="21"/>
        <v>0.2525</v>
      </c>
    </row>
    <row r="64" spans="1:11" ht="18" x14ac:dyDescent="0.25">
      <c r="A64" s="16" t="s">
        <v>30</v>
      </c>
      <c r="B64" s="7">
        <v>416.5</v>
      </c>
      <c r="C64" s="8">
        <f t="shared" si="18"/>
        <v>360</v>
      </c>
      <c r="D64" s="8">
        <f t="shared" si="18"/>
        <v>256</v>
      </c>
      <c r="E64" s="8">
        <f t="shared" si="18"/>
        <v>0</v>
      </c>
      <c r="F64" s="8">
        <f t="shared" si="18"/>
        <v>0</v>
      </c>
      <c r="G64" s="13">
        <f t="shared" si="22"/>
        <v>616</v>
      </c>
      <c r="H64" s="28">
        <f t="shared" si="19"/>
        <v>0</v>
      </c>
      <c r="I64" s="8">
        <f t="shared" si="23"/>
        <v>616</v>
      </c>
      <c r="J64" s="12">
        <f t="shared" si="20"/>
        <v>1720</v>
      </c>
      <c r="K64" s="17">
        <f t="shared" si="21"/>
        <v>0.35813953488372091</v>
      </c>
    </row>
    <row r="65" spans="1:11" ht="18" x14ac:dyDescent="0.25">
      <c r="A65" s="16" t="s">
        <v>31</v>
      </c>
      <c r="B65" s="7">
        <v>637.5</v>
      </c>
      <c r="C65" s="8">
        <f t="shared" si="18"/>
        <v>21</v>
      </c>
      <c r="D65" s="8">
        <f t="shared" si="18"/>
        <v>7</v>
      </c>
      <c r="E65" s="8">
        <f t="shared" si="18"/>
        <v>0</v>
      </c>
      <c r="F65" s="8">
        <f t="shared" si="18"/>
        <v>0</v>
      </c>
      <c r="G65" s="13">
        <f t="shared" si="22"/>
        <v>28</v>
      </c>
      <c r="H65" s="28">
        <f t="shared" si="19"/>
        <v>0</v>
      </c>
      <c r="I65" s="8">
        <f t="shared" si="23"/>
        <v>28</v>
      </c>
      <c r="J65" s="12">
        <f t="shared" si="20"/>
        <v>220</v>
      </c>
      <c r="K65" s="17">
        <f t="shared" si="21"/>
        <v>0.12727272727272726</v>
      </c>
    </row>
    <row r="66" spans="1:11" ht="18" x14ac:dyDescent="0.25">
      <c r="A66" s="16" t="s">
        <v>22</v>
      </c>
      <c r="B66" s="7">
        <v>382.5</v>
      </c>
      <c r="C66" s="8">
        <f t="shared" si="18"/>
        <v>135</v>
      </c>
      <c r="D66" s="8">
        <f t="shared" si="18"/>
        <v>137</v>
      </c>
      <c r="E66" s="8">
        <f t="shared" si="18"/>
        <v>0</v>
      </c>
      <c r="F66" s="8">
        <f t="shared" si="18"/>
        <v>0</v>
      </c>
      <c r="G66" s="13">
        <f t="shared" si="22"/>
        <v>272</v>
      </c>
      <c r="H66" s="28">
        <f t="shared" si="19"/>
        <v>0</v>
      </c>
      <c r="I66" s="8">
        <f t="shared" si="23"/>
        <v>272</v>
      </c>
      <c r="J66" s="12">
        <f t="shared" si="20"/>
        <v>400</v>
      </c>
      <c r="K66" s="17">
        <f t="shared" si="21"/>
        <v>0.68</v>
      </c>
    </row>
    <row r="67" spans="1:11" ht="18" x14ac:dyDescent="0.25">
      <c r="A67" s="16" t="s">
        <v>24</v>
      </c>
      <c r="B67" s="7">
        <v>331.5</v>
      </c>
      <c r="C67" s="8">
        <f t="shared" si="18"/>
        <v>50</v>
      </c>
      <c r="D67" s="8">
        <f t="shared" si="18"/>
        <v>91</v>
      </c>
      <c r="E67" s="8">
        <f t="shared" si="18"/>
        <v>0</v>
      </c>
      <c r="F67" s="8">
        <f t="shared" si="18"/>
        <v>0</v>
      </c>
      <c r="G67" s="13">
        <f t="shared" si="22"/>
        <v>141</v>
      </c>
      <c r="H67" s="28">
        <f t="shared" si="19"/>
        <v>0</v>
      </c>
      <c r="I67" s="8">
        <f t="shared" si="23"/>
        <v>141</v>
      </c>
      <c r="J67" s="12">
        <f t="shared" si="20"/>
        <v>400</v>
      </c>
      <c r="K67" s="17">
        <f t="shared" si="21"/>
        <v>0.35249999999999998</v>
      </c>
    </row>
    <row r="68" spans="1:11" ht="18" x14ac:dyDescent="0.25">
      <c r="A68" s="16" t="s">
        <v>25</v>
      </c>
      <c r="B68" s="7">
        <v>275.39999999999998</v>
      </c>
      <c r="C68" s="8">
        <f t="shared" si="18"/>
        <v>175</v>
      </c>
      <c r="D68" s="8">
        <f t="shared" si="18"/>
        <v>55</v>
      </c>
      <c r="E68" s="8">
        <f t="shared" si="18"/>
        <v>0</v>
      </c>
      <c r="F68" s="8">
        <f t="shared" si="18"/>
        <v>0</v>
      </c>
      <c r="G68" s="13">
        <f t="shared" si="22"/>
        <v>230</v>
      </c>
      <c r="H68" s="28">
        <f t="shared" si="19"/>
        <v>0</v>
      </c>
      <c r="I68" s="8">
        <f t="shared" si="23"/>
        <v>230</v>
      </c>
      <c r="J68" s="12">
        <f t="shared" si="20"/>
        <v>390</v>
      </c>
      <c r="K68" s="17">
        <f t="shared" si="21"/>
        <v>0.58974358974358976</v>
      </c>
    </row>
    <row r="69" spans="1:11" ht="18" x14ac:dyDescent="0.25">
      <c r="A69" s="16" t="s">
        <v>23</v>
      </c>
      <c r="B69" s="7">
        <v>484.5</v>
      </c>
      <c r="C69" s="8">
        <f t="shared" si="18"/>
        <v>0</v>
      </c>
      <c r="D69" s="8">
        <f t="shared" si="18"/>
        <v>0</v>
      </c>
      <c r="E69" s="8">
        <f t="shared" si="18"/>
        <v>0</v>
      </c>
      <c r="F69" s="8">
        <f t="shared" si="18"/>
        <v>0</v>
      </c>
      <c r="G69" s="13">
        <f t="shared" si="22"/>
        <v>0</v>
      </c>
      <c r="H69" s="28">
        <f t="shared" si="19"/>
        <v>0</v>
      </c>
      <c r="I69" s="8">
        <f t="shared" si="23"/>
        <v>0</v>
      </c>
      <c r="J69" s="12">
        <f t="shared" si="20"/>
        <v>0</v>
      </c>
      <c r="K69" s="17" t="e">
        <f>I69/J69</f>
        <v>#DIV/0!</v>
      </c>
    </row>
    <row r="70" spans="1:11" ht="18" hidden="1" x14ac:dyDescent="0.25">
      <c r="A70" s="16"/>
      <c r="B70" s="7"/>
      <c r="C70" s="8">
        <f t="shared" ref="C70:J71" si="24">SUM(C42+C12)</f>
        <v>40</v>
      </c>
      <c r="D70" s="8">
        <f t="shared" si="24"/>
        <v>58</v>
      </c>
      <c r="E70" s="8">
        <f t="shared" si="24"/>
        <v>0</v>
      </c>
      <c r="F70" s="8">
        <f t="shared" si="24"/>
        <v>0</v>
      </c>
      <c r="G70" s="8">
        <f t="shared" si="24"/>
        <v>98</v>
      </c>
      <c r="H70" s="8">
        <f t="shared" si="24"/>
        <v>0</v>
      </c>
      <c r="I70" s="8">
        <f t="shared" si="24"/>
        <v>98</v>
      </c>
      <c r="J70" s="8">
        <f t="shared" si="24"/>
        <v>310</v>
      </c>
      <c r="K70" s="17">
        <f>I70/J70</f>
        <v>0.31612903225806449</v>
      </c>
    </row>
    <row r="71" spans="1:11" ht="18" hidden="1" x14ac:dyDescent="0.25">
      <c r="A71" s="16"/>
      <c r="B71" s="7"/>
      <c r="C71" s="8">
        <f t="shared" si="24"/>
        <v>142</v>
      </c>
      <c r="D71" s="8">
        <f t="shared" si="24"/>
        <v>139</v>
      </c>
      <c r="E71" s="8">
        <f t="shared" si="24"/>
        <v>0</v>
      </c>
      <c r="F71" s="8">
        <f t="shared" si="24"/>
        <v>0</v>
      </c>
      <c r="G71" s="8">
        <f t="shared" si="24"/>
        <v>281</v>
      </c>
      <c r="H71" s="8">
        <f t="shared" si="24"/>
        <v>0</v>
      </c>
      <c r="I71" s="8">
        <f t="shared" si="24"/>
        <v>281</v>
      </c>
      <c r="J71" s="8">
        <f t="shared" si="24"/>
        <v>395</v>
      </c>
      <c r="K71" s="17">
        <f>I71/J71</f>
        <v>0.71139240506329116</v>
      </c>
    </row>
    <row r="72" spans="1:11" ht="18" x14ac:dyDescent="0.25">
      <c r="A72" s="43" t="s">
        <v>11</v>
      </c>
      <c r="B72" s="44"/>
      <c r="C72" s="9">
        <f>SUM(C62:C69)</f>
        <v>920</v>
      </c>
      <c r="D72" s="9">
        <f>SUM(D62:D69)</f>
        <v>669</v>
      </c>
      <c r="E72" s="9">
        <f>SUM(E62:E69)</f>
        <v>0</v>
      </c>
      <c r="F72" s="9">
        <f>SUM(F62:F69)</f>
        <v>0</v>
      </c>
      <c r="G72" s="9">
        <f>SUM(G62:G69)</f>
        <v>1589</v>
      </c>
      <c r="H72" s="24">
        <f>SUM(H17+H45)</f>
        <v>0</v>
      </c>
      <c r="I72" s="9">
        <f>SUM(G72:H72)</f>
        <v>1589</v>
      </c>
      <c r="J72" s="24">
        <f>SUM(J17+J45)</f>
        <v>4230</v>
      </c>
      <c r="K72" s="18">
        <f>I72/J72</f>
        <v>0.37565011820330968</v>
      </c>
    </row>
    <row r="73" spans="1:11" ht="18" x14ac:dyDescent="0.25">
      <c r="A73" s="45" t="s">
        <v>12</v>
      </c>
      <c r="B73" s="46"/>
      <c r="C73" s="11">
        <f>SUM(C18+C46)</f>
        <v>344581.5</v>
      </c>
      <c r="D73" s="11">
        <f>SUM(D46+D18)</f>
        <v>252495.9</v>
      </c>
      <c r="E73" s="11">
        <f>SUM(E18+E46)</f>
        <v>0</v>
      </c>
      <c r="F73" s="11">
        <f>SUM(F45+F15)</f>
        <v>0</v>
      </c>
      <c r="G73" s="11">
        <f>SUM(C73:F73)</f>
        <v>597077.4</v>
      </c>
      <c r="H73" s="11">
        <f>SUM(H18+H46)</f>
        <v>0</v>
      </c>
      <c r="I73" s="11">
        <f>SUM(G73:H73)</f>
        <v>597077.4</v>
      </c>
      <c r="J73" s="11">
        <f>SUM(J18+J46)</f>
        <v>1648966</v>
      </c>
      <c r="K73" s="19">
        <f>I73/J73</f>
        <v>0.36209200189694635</v>
      </c>
    </row>
    <row r="74" spans="1:11" ht="18" x14ac:dyDescent="0.25">
      <c r="A74" s="57" t="s">
        <v>20</v>
      </c>
      <c r="B74" s="100"/>
      <c r="C74" s="31"/>
      <c r="D74" s="31"/>
      <c r="E74" s="31"/>
      <c r="F74" s="31"/>
      <c r="G74" s="31"/>
      <c r="H74" s="31"/>
      <c r="I74" s="31"/>
      <c r="J74" s="31"/>
      <c r="K74" s="32"/>
    </row>
    <row r="75" spans="1:11" ht="18" x14ac:dyDescent="0.25">
      <c r="A75" s="16" t="s">
        <v>21</v>
      </c>
      <c r="B75" s="7">
        <v>977.5</v>
      </c>
      <c r="C75" s="8">
        <f t="shared" ref="C75:F77" si="25">SUM(C20+C48)</f>
        <v>0</v>
      </c>
      <c r="D75" s="8">
        <f t="shared" si="25"/>
        <v>0</v>
      </c>
      <c r="E75" s="8">
        <f t="shared" si="25"/>
        <v>0</v>
      </c>
      <c r="F75" s="8">
        <f t="shared" si="25"/>
        <v>0</v>
      </c>
      <c r="G75" s="13">
        <f t="shared" ref="G75:G77" si="26">SUM(C75:F75)</f>
        <v>0</v>
      </c>
      <c r="H75" s="28">
        <f>SUM(H20+H48)</f>
        <v>0</v>
      </c>
      <c r="I75" s="28">
        <f t="shared" ref="I75:I84" si="27">SUM(G75:H75)</f>
        <v>0</v>
      </c>
      <c r="J75" s="12">
        <f>SUM(J20+J48)</f>
        <v>0</v>
      </c>
      <c r="K75" s="17" t="e">
        <f t="shared" ref="K75:K83" si="28">I75/J75</f>
        <v>#DIV/0!</v>
      </c>
    </row>
    <row r="76" spans="1:11" ht="18" x14ac:dyDescent="0.25">
      <c r="A76" s="16" t="s">
        <v>13</v>
      </c>
      <c r="B76" s="7">
        <v>807.5</v>
      </c>
      <c r="C76" s="8">
        <f t="shared" si="25"/>
        <v>16</v>
      </c>
      <c r="D76" s="8">
        <f t="shared" si="25"/>
        <v>10</v>
      </c>
      <c r="E76" s="8">
        <f t="shared" si="25"/>
        <v>0</v>
      </c>
      <c r="F76" s="8">
        <f t="shared" si="25"/>
        <v>0</v>
      </c>
      <c r="G76" s="13">
        <f t="shared" si="26"/>
        <v>26</v>
      </c>
      <c r="H76" s="28">
        <f>SUM(H21+H49)</f>
        <v>0</v>
      </c>
      <c r="I76" s="28">
        <f t="shared" si="27"/>
        <v>26</v>
      </c>
      <c r="J76" s="12">
        <f>SUM(J21+J49)</f>
        <v>300</v>
      </c>
      <c r="K76" s="17">
        <f t="shared" si="28"/>
        <v>8.666666666666667E-2</v>
      </c>
    </row>
    <row r="77" spans="1:11" ht="18" x14ac:dyDescent="0.25">
      <c r="A77" s="16" t="s">
        <v>14</v>
      </c>
      <c r="B77" s="7">
        <v>365.5</v>
      </c>
      <c r="C77" s="8">
        <f>SUM(C22+C50)</f>
        <v>0</v>
      </c>
      <c r="D77" s="8">
        <f t="shared" si="25"/>
        <v>6</v>
      </c>
      <c r="E77" s="8">
        <f t="shared" si="25"/>
        <v>0</v>
      </c>
      <c r="F77" s="8">
        <f t="shared" si="25"/>
        <v>0</v>
      </c>
      <c r="G77" s="13">
        <f t="shared" si="26"/>
        <v>6</v>
      </c>
      <c r="H77" s="28">
        <f>SUM(H22+H50)</f>
        <v>0</v>
      </c>
      <c r="I77" s="8">
        <f t="shared" si="27"/>
        <v>6</v>
      </c>
      <c r="J77" s="12">
        <f>SUM(J22+J50)</f>
        <v>300</v>
      </c>
      <c r="K77" s="17">
        <f t="shared" si="28"/>
        <v>0.02</v>
      </c>
    </row>
    <row r="78" spans="1:11" ht="18" x14ac:dyDescent="0.25">
      <c r="A78" s="39" t="s">
        <v>46</v>
      </c>
      <c r="B78" s="7">
        <v>1402.5</v>
      </c>
      <c r="C78" s="8">
        <f>C23</f>
        <v>0</v>
      </c>
      <c r="D78" s="8">
        <f>D23</f>
        <v>0</v>
      </c>
      <c r="E78" s="8">
        <f>E23</f>
        <v>0</v>
      </c>
      <c r="F78" s="8">
        <f>F23</f>
        <v>0</v>
      </c>
      <c r="G78" s="12">
        <f>SUM(C78:F78)</f>
        <v>0</v>
      </c>
      <c r="H78" s="6">
        <f>H23</f>
        <v>0</v>
      </c>
      <c r="I78" s="5">
        <f t="shared" ref="I78:I80" si="29">G78+H78</f>
        <v>0</v>
      </c>
      <c r="J78" s="12">
        <v>0</v>
      </c>
      <c r="K78" s="17" t="e">
        <f t="shared" si="28"/>
        <v>#DIV/0!</v>
      </c>
    </row>
    <row r="79" spans="1:11" ht="18" x14ac:dyDescent="0.25">
      <c r="A79" s="40" t="s">
        <v>47</v>
      </c>
      <c r="B79" s="7">
        <v>1955</v>
      </c>
      <c r="C79" s="8">
        <f t="shared" ref="C79:F79" si="30">C24</f>
        <v>0</v>
      </c>
      <c r="D79" s="8">
        <f t="shared" si="30"/>
        <v>0</v>
      </c>
      <c r="E79" s="8">
        <f t="shared" si="30"/>
        <v>0</v>
      </c>
      <c r="F79" s="8">
        <f t="shared" si="30"/>
        <v>0</v>
      </c>
      <c r="G79" s="12">
        <f t="shared" ref="G79" si="31">SUM(C79:F79)</f>
        <v>0</v>
      </c>
      <c r="H79" s="6">
        <f t="shared" ref="H79:H80" si="32">H24</f>
        <v>0</v>
      </c>
      <c r="I79" s="5">
        <f t="shared" si="29"/>
        <v>0</v>
      </c>
      <c r="J79" s="12">
        <v>0</v>
      </c>
      <c r="K79" s="17" t="e">
        <f t="shared" si="28"/>
        <v>#DIV/0!</v>
      </c>
    </row>
    <row r="80" spans="1:11" ht="18" x14ac:dyDescent="0.25">
      <c r="A80" s="41" t="s">
        <v>37</v>
      </c>
      <c r="B80" s="7">
        <v>595</v>
      </c>
      <c r="C80" s="8">
        <f t="shared" ref="C80:F80" si="33">C25</f>
        <v>0</v>
      </c>
      <c r="D80" s="8">
        <f t="shared" si="33"/>
        <v>0</v>
      </c>
      <c r="E80" s="8">
        <f t="shared" si="33"/>
        <v>0</v>
      </c>
      <c r="F80" s="8">
        <f t="shared" si="33"/>
        <v>0</v>
      </c>
      <c r="G80" s="12">
        <f>SUM(C80:F80)</f>
        <v>0</v>
      </c>
      <c r="H80" s="6">
        <f t="shared" si="32"/>
        <v>0</v>
      </c>
      <c r="I80" s="5">
        <f t="shared" si="29"/>
        <v>0</v>
      </c>
      <c r="J80" s="12">
        <v>0</v>
      </c>
      <c r="K80" s="17" t="e">
        <f t="shared" si="28"/>
        <v>#DIV/0!</v>
      </c>
    </row>
    <row r="81" spans="1:11" ht="18" x14ac:dyDescent="0.25">
      <c r="A81" s="43" t="s">
        <v>11</v>
      </c>
      <c r="B81" s="44"/>
      <c r="C81" s="9">
        <f>SUM(C75:C80)</f>
        <v>16</v>
      </c>
      <c r="D81" s="9">
        <f t="shared" ref="D81:F81" si="34">SUM(D75:D80)</f>
        <v>16</v>
      </c>
      <c r="E81" s="9">
        <f t="shared" si="34"/>
        <v>0</v>
      </c>
      <c r="F81" s="9">
        <f t="shared" si="34"/>
        <v>0</v>
      </c>
      <c r="G81" s="9">
        <f>SUM(G75:G80)</f>
        <v>32</v>
      </c>
      <c r="H81" s="24">
        <f>SUM(H26+H51)</f>
        <v>0</v>
      </c>
      <c r="I81" s="9">
        <f>SUM(G81:H81)</f>
        <v>32</v>
      </c>
      <c r="J81" s="24">
        <f>SUM(J75:J80)</f>
        <v>600</v>
      </c>
      <c r="K81" s="18">
        <f t="shared" si="28"/>
        <v>5.3333333333333337E-2</v>
      </c>
    </row>
    <row r="82" spans="1:11" ht="18" x14ac:dyDescent="0.25">
      <c r="A82" s="45" t="s">
        <v>15</v>
      </c>
      <c r="B82" s="46"/>
      <c r="C82" s="11">
        <f>SUM(C52+C27)</f>
        <v>12920</v>
      </c>
      <c r="D82" s="11">
        <f t="shared" ref="D82:F82" si="35">SUM(D52+D27)</f>
        <v>10268</v>
      </c>
      <c r="E82" s="11">
        <f t="shared" si="35"/>
        <v>0</v>
      </c>
      <c r="F82" s="10">
        <f t="shared" si="35"/>
        <v>0</v>
      </c>
      <c r="G82" s="11">
        <f>SUM(C82:F82)</f>
        <v>23188</v>
      </c>
      <c r="H82" s="11">
        <f>SUM(H27+H52)</f>
        <v>0</v>
      </c>
      <c r="I82" s="11">
        <f t="shared" si="27"/>
        <v>23188</v>
      </c>
      <c r="J82" s="11">
        <f>SUM(J27+J52)</f>
        <v>351900</v>
      </c>
      <c r="K82" s="19">
        <f t="shared" si="28"/>
        <v>6.5893719806763285E-2</v>
      </c>
    </row>
    <row r="83" spans="1:11" ht="18" x14ac:dyDescent="0.25">
      <c r="A83" s="43" t="s">
        <v>16</v>
      </c>
      <c r="B83" s="44"/>
      <c r="C83" s="24">
        <f>SUM(C53+C28)</f>
        <v>936</v>
      </c>
      <c r="D83" s="9">
        <f t="shared" ref="D83:F83" si="36">SUM(D53+D28)</f>
        <v>685</v>
      </c>
      <c r="E83" s="9">
        <f t="shared" si="36"/>
        <v>0</v>
      </c>
      <c r="F83" s="9">
        <f t="shared" si="36"/>
        <v>0</v>
      </c>
      <c r="G83" s="9">
        <f>SUM(C83:F83)</f>
        <v>1621</v>
      </c>
      <c r="H83" s="24">
        <f>SUM(H28+H53)</f>
        <v>0</v>
      </c>
      <c r="I83" s="9">
        <f t="shared" si="27"/>
        <v>1621</v>
      </c>
      <c r="J83" s="24">
        <f>SUM(J72+J81)</f>
        <v>4830</v>
      </c>
      <c r="K83" s="18">
        <f t="shared" si="28"/>
        <v>0.33561076604554868</v>
      </c>
    </row>
    <row r="84" spans="1:11" ht="18.75" thickBot="1" x14ac:dyDescent="0.3">
      <c r="A84" s="81" t="s">
        <v>17</v>
      </c>
      <c r="B84" s="82"/>
      <c r="C84" s="20">
        <f>SUM(C29+C54)</f>
        <v>357501.5</v>
      </c>
      <c r="D84" s="20">
        <f t="shared" ref="D84:F84" si="37">SUM(D29+D54)</f>
        <v>262763.90000000002</v>
      </c>
      <c r="E84" s="20">
        <f>SUM(E29+E54)</f>
        <v>0</v>
      </c>
      <c r="F84" s="20">
        <f t="shared" si="37"/>
        <v>0</v>
      </c>
      <c r="G84" s="20">
        <f>SUM(C84:F84)</f>
        <v>620265.4</v>
      </c>
      <c r="H84" s="20">
        <f>SUM(H29+H54)</f>
        <v>0</v>
      </c>
      <c r="I84" s="20">
        <f t="shared" si="27"/>
        <v>620265.4</v>
      </c>
      <c r="J84" s="20">
        <f>J29+J54</f>
        <v>2000866</v>
      </c>
      <c r="K84" s="21">
        <f>I84/J84</f>
        <v>0.30999847066220326</v>
      </c>
    </row>
    <row r="85" spans="1:11" ht="15.75" thickBot="1" x14ac:dyDescent="0.3">
      <c r="A85" s="91"/>
      <c r="B85" s="92"/>
      <c r="C85" s="92"/>
      <c r="D85" s="92"/>
      <c r="E85" s="92"/>
      <c r="F85" s="92"/>
      <c r="G85" s="92"/>
      <c r="H85" s="92"/>
      <c r="I85" s="92"/>
      <c r="J85" s="92"/>
      <c r="K85" s="93"/>
    </row>
    <row r="86" spans="1:11" ht="31.5" customHeight="1" thickBot="1" x14ac:dyDescent="0.3">
      <c r="A86" s="85" t="s">
        <v>35</v>
      </c>
      <c r="B86" s="86"/>
      <c r="C86" s="86"/>
      <c r="D86" s="86"/>
      <c r="E86" s="86"/>
      <c r="F86" s="86"/>
      <c r="G86" s="86"/>
      <c r="H86" s="86"/>
      <c r="I86" s="86"/>
      <c r="J86" s="86"/>
      <c r="K86" s="87"/>
    </row>
    <row r="87" spans="1:11" ht="29.25" x14ac:dyDescent="0.25">
      <c r="A87" s="88" t="s">
        <v>0</v>
      </c>
      <c r="B87" s="89"/>
      <c r="C87" s="89"/>
      <c r="D87" s="89"/>
      <c r="E87" s="89"/>
      <c r="F87" s="89"/>
      <c r="G87" s="89"/>
      <c r="H87" s="89"/>
      <c r="I87" s="89"/>
      <c r="J87" s="89"/>
      <c r="K87" s="90"/>
    </row>
    <row r="88" spans="1:11" ht="21" x14ac:dyDescent="0.25">
      <c r="A88" s="65" t="s">
        <v>1</v>
      </c>
      <c r="B88" s="66"/>
      <c r="C88" s="66"/>
      <c r="D88" s="66"/>
      <c r="E88" s="66"/>
      <c r="F88" s="66"/>
      <c r="G88" s="66"/>
      <c r="H88" s="66"/>
      <c r="I88" s="66"/>
      <c r="J88" s="66"/>
      <c r="K88" s="67"/>
    </row>
    <row r="89" spans="1:11" ht="21" x14ac:dyDescent="0.25">
      <c r="A89" s="68" t="s">
        <v>48</v>
      </c>
      <c r="B89" s="69"/>
      <c r="C89" s="69"/>
      <c r="D89" s="69"/>
      <c r="E89" s="69"/>
      <c r="F89" s="69"/>
      <c r="G89" s="69"/>
      <c r="H89" s="69"/>
      <c r="I89" s="69"/>
      <c r="J89" s="69"/>
      <c r="K89" s="70"/>
    </row>
    <row r="90" spans="1:11" ht="18" x14ac:dyDescent="0.25">
      <c r="A90" s="80" t="s">
        <v>36</v>
      </c>
      <c r="B90" s="72"/>
      <c r="C90" s="72"/>
      <c r="D90" s="72"/>
      <c r="E90" s="72"/>
      <c r="F90" s="72"/>
      <c r="G90" s="72"/>
      <c r="H90" s="72"/>
      <c r="I90" s="72"/>
      <c r="J90" s="72"/>
      <c r="K90" s="73"/>
    </row>
    <row r="91" spans="1:11" ht="18" x14ac:dyDescent="0.25">
      <c r="A91" s="49" t="s">
        <v>2</v>
      </c>
      <c r="B91" s="50"/>
      <c r="C91" s="47" t="s">
        <v>26</v>
      </c>
      <c r="D91" s="47" t="s">
        <v>27</v>
      </c>
      <c r="E91" s="47" t="s">
        <v>28</v>
      </c>
      <c r="F91" s="47" t="s">
        <v>29</v>
      </c>
      <c r="G91" s="84" t="s">
        <v>3</v>
      </c>
      <c r="H91" s="47" t="s">
        <v>4</v>
      </c>
      <c r="I91" s="2" t="s">
        <v>5</v>
      </c>
      <c r="J91" s="2" t="s">
        <v>6</v>
      </c>
      <c r="K91" s="14" t="s">
        <v>7</v>
      </c>
    </row>
    <row r="92" spans="1:11" ht="18" x14ac:dyDescent="0.25">
      <c r="A92" s="83" t="s">
        <v>19</v>
      </c>
      <c r="B92" s="61"/>
      <c r="C92" s="48"/>
      <c r="D92" s="48"/>
      <c r="E92" s="48"/>
      <c r="F92" s="48"/>
      <c r="G92" s="48"/>
      <c r="H92" s="48"/>
      <c r="I92" s="25" t="s">
        <v>7</v>
      </c>
      <c r="J92" s="25" t="s">
        <v>8</v>
      </c>
      <c r="K92" s="26" t="s">
        <v>9</v>
      </c>
    </row>
    <row r="93" spans="1:11" ht="18" x14ac:dyDescent="0.25">
      <c r="A93" s="27" t="s">
        <v>38</v>
      </c>
      <c r="B93" s="7">
        <v>637.5</v>
      </c>
      <c r="C93" s="8">
        <v>10</v>
      </c>
      <c r="D93" s="8">
        <v>10</v>
      </c>
      <c r="E93" s="8"/>
      <c r="F93" s="8"/>
      <c r="G93" s="12">
        <f t="shared" ref="G93:G96" si="38">SUM(C93:F93)</f>
        <v>20</v>
      </c>
      <c r="H93" s="6"/>
      <c r="I93" s="5">
        <f t="shared" ref="I93:I98" si="39">G93+H93</f>
        <v>20</v>
      </c>
      <c r="J93" s="12">
        <v>260</v>
      </c>
      <c r="K93" s="17">
        <f t="shared" ref="K93:K98" si="40">I93/J93</f>
        <v>7.6923076923076927E-2</v>
      </c>
    </row>
    <row r="94" spans="1:11" ht="18" x14ac:dyDescent="0.25">
      <c r="A94" s="16" t="s">
        <v>39</v>
      </c>
      <c r="B94" s="7">
        <v>416.5</v>
      </c>
      <c r="C94" s="8">
        <v>30</v>
      </c>
      <c r="D94" s="8">
        <v>15</v>
      </c>
      <c r="E94" s="8"/>
      <c r="F94" s="8"/>
      <c r="G94" s="12">
        <f t="shared" si="38"/>
        <v>45</v>
      </c>
      <c r="H94" s="6"/>
      <c r="I94" s="5">
        <f t="shared" si="39"/>
        <v>45</v>
      </c>
      <c r="J94" s="12">
        <v>250</v>
      </c>
      <c r="K94" s="17">
        <f t="shared" si="40"/>
        <v>0.18</v>
      </c>
    </row>
    <row r="95" spans="1:11" ht="18" x14ac:dyDescent="0.25">
      <c r="A95" s="16" t="s">
        <v>10</v>
      </c>
      <c r="B95" s="7">
        <v>442</v>
      </c>
      <c r="C95" s="8">
        <v>40</v>
      </c>
      <c r="D95" s="8">
        <v>10</v>
      </c>
      <c r="E95" s="8"/>
      <c r="F95" s="8"/>
      <c r="G95" s="12">
        <f t="shared" si="38"/>
        <v>50</v>
      </c>
      <c r="H95" s="6"/>
      <c r="I95" s="5">
        <f t="shared" si="39"/>
        <v>50</v>
      </c>
      <c r="J95" s="12">
        <v>200</v>
      </c>
      <c r="K95" s="17">
        <f t="shared" si="40"/>
        <v>0.25</v>
      </c>
    </row>
    <row r="96" spans="1:11" ht="18" x14ac:dyDescent="0.25">
      <c r="A96" s="27" t="s">
        <v>40</v>
      </c>
      <c r="B96" s="7">
        <v>1402.5</v>
      </c>
      <c r="C96" s="8">
        <v>32</v>
      </c>
      <c r="D96" s="8">
        <v>45</v>
      </c>
      <c r="E96" s="8"/>
      <c r="F96" s="8"/>
      <c r="G96" s="12">
        <f t="shared" si="38"/>
        <v>77</v>
      </c>
      <c r="H96" s="6"/>
      <c r="I96" s="5">
        <f t="shared" si="39"/>
        <v>77</v>
      </c>
      <c r="J96" s="12">
        <v>100</v>
      </c>
      <c r="K96" s="17">
        <f t="shared" si="40"/>
        <v>0.77</v>
      </c>
    </row>
    <row r="97" spans="1:11" ht="18" x14ac:dyDescent="0.25">
      <c r="A97" s="53" t="s">
        <v>11</v>
      </c>
      <c r="B97" s="54"/>
      <c r="C97" s="1">
        <f>SUM(C93:C96)</f>
        <v>112</v>
      </c>
      <c r="D97" s="1">
        <f>SUM(D93:D96)</f>
        <v>80</v>
      </c>
      <c r="E97" s="1">
        <f>SUM(E93:E96)</f>
        <v>0</v>
      </c>
      <c r="F97" s="1">
        <f>SUM(F93:F96)</f>
        <v>0</v>
      </c>
      <c r="G97" s="1">
        <f>SUM(C97:F97)</f>
        <v>192</v>
      </c>
      <c r="H97" s="1">
        <f>SUM(H93:H96)</f>
        <v>0</v>
      </c>
      <c r="I97" s="1">
        <f t="shared" si="39"/>
        <v>192</v>
      </c>
      <c r="J97" s="1">
        <f>SUM(J93:J96)</f>
        <v>810</v>
      </c>
      <c r="K97" s="15">
        <f t="shared" si="40"/>
        <v>0.23703703703703705</v>
      </c>
    </row>
    <row r="98" spans="1:11" ht="18" x14ac:dyDescent="0.25">
      <c r="A98" s="55" t="s">
        <v>12</v>
      </c>
      <c r="B98" s="56"/>
      <c r="C98" s="3">
        <f>SUMPRODUCT($B93:$B96*C93:C96)</f>
        <v>81430</v>
      </c>
      <c r="D98" s="3">
        <f>SUMPRODUCT($B93:$B96*D93:D96)</f>
        <v>80155</v>
      </c>
      <c r="E98" s="3">
        <f>SUMPRODUCT($B93:$B96*E93:E96)</f>
        <v>0</v>
      </c>
      <c r="F98" s="3">
        <f>SUMPRODUCT($B93:$B96*F93:F96)</f>
        <v>0</v>
      </c>
      <c r="G98" s="3">
        <f>SUM(C98:F98)</f>
        <v>161585</v>
      </c>
      <c r="H98" s="3">
        <f>SUMPRODUCT($B93:$B96*H93:H96)</f>
        <v>0</v>
      </c>
      <c r="I98" s="3">
        <f t="shared" si="39"/>
        <v>161585</v>
      </c>
      <c r="J98" s="3">
        <f>SUMPRODUCT($B93:$B96*J93:J96)</f>
        <v>498525</v>
      </c>
      <c r="K98" s="14">
        <f t="shared" si="40"/>
        <v>0.32412617220801365</v>
      </c>
    </row>
    <row r="99" spans="1:11" ht="18" x14ac:dyDescent="0.25">
      <c r="A99" s="57" t="s">
        <v>20</v>
      </c>
      <c r="B99" s="58"/>
      <c r="C99" s="58"/>
      <c r="D99" s="58"/>
      <c r="E99" s="58"/>
      <c r="F99" s="58"/>
      <c r="G99" s="58"/>
      <c r="H99" s="58"/>
      <c r="I99" s="58"/>
      <c r="J99" s="58"/>
      <c r="K99" s="59"/>
    </row>
    <row r="100" spans="1:11" ht="18" x14ac:dyDescent="0.25">
      <c r="A100" s="16" t="s">
        <v>41</v>
      </c>
      <c r="B100" s="7">
        <v>1955</v>
      </c>
      <c r="C100" s="8">
        <v>24</v>
      </c>
      <c r="D100" s="42">
        <v>5</v>
      </c>
      <c r="E100" s="8"/>
      <c r="F100" s="8"/>
      <c r="G100" s="12">
        <f t="shared" ref="G100:G105" si="41">SUM(C100:F100)</f>
        <v>29</v>
      </c>
      <c r="H100" s="6"/>
      <c r="I100" s="5">
        <f>G100+H100</f>
        <v>29</v>
      </c>
      <c r="J100" s="12">
        <v>200</v>
      </c>
      <c r="K100" s="17">
        <f t="shared" ref="K100:K106" si="42">I100/J100</f>
        <v>0.14499999999999999</v>
      </c>
    </row>
    <row r="101" spans="1:11" ht="18" x14ac:dyDescent="0.25">
      <c r="A101" s="16" t="s">
        <v>37</v>
      </c>
      <c r="B101" s="7">
        <v>595</v>
      </c>
      <c r="C101" s="8">
        <v>12</v>
      </c>
      <c r="D101" s="42">
        <v>20</v>
      </c>
      <c r="E101" s="8"/>
      <c r="F101" s="8"/>
      <c r="G101" s="12">
        <f t="shared" si="41"/>
        <v>32</v>
      </c>
      <c r="H101" s="6"/>
      <c r="I101" s="5">
        <f>G101+H101</f>
        <v>32</v>
      </c>
      <c r="J101" s="12">
        <v>200</v>
      </c>
      <c r="K101" s="17">
        <f t="shared" si="42"/>
        <v>0.16</v>
      </c>
    </row>
    <row r="102" spans="1:11" ht="18" x14ac:dyDescent="0.25">
      <c r="A102" s="16" t="s">
        <v>42</v>
      </c>
      <c r="B102" s="7">
        <v>595</v>
      </c>
      <c r="C102" s="8">
        <v>32</v>
      </c>
      <c r="D102" s="42">
        <v>20</v>
      </c>
      <c r="E102" s="8"/>
      <c r="F102" s="8"/>
      <c r="G102" s="12">
        <f t="shared" si="41"/>
        <v>52</v>
      </c>
      <c r="H102" s="6"/>
      <c r="I102" s="5">
        <f>G102+H102</f>
        <v>52</v>
      </c>
      <c r="J102" s="12">
        <v>100</v>
      </c>
      <c r="K102" s="17">
        <f t="shared" si="42"/>
        <v>0.52</v>
      </c>
    </row>
    <row r="103" spans="1:11" ht="18" x14ac:dyDescent="0.25">
      <c r="A103" s="53" t="s">
        <v>11</v>
      </c>
      <c r="B103" s="54"/>
      <c r="C103" s="1">
        <f>SUM(C100:C102)</f>
        <v>68</v>
      </c>
      <c r="D103" s="1">
        <f>SUM(D100:D102)</f>
        <v>45</v>
      </c>
      <c r="E103" s="1">
        <f>SUM(E100:E102)</f>
        <v>0</v>
      </c>
      <c r="F103" s="1">
        <f>SUM(F100:F102)</f>
        <v>0</v>
      </c>
      <c r="G103" s="1">
        <f t="shared" si="41"/>
        <v>113</v>
      </c>
      <c r="H103" s="1">
        <f>SUM(H100:H102)</f>
        <v>0</v>
      </c>
      <c r="I103" s="1">
        <f>G103+H103</f>
        <v>113</v>
      </c>
      <c r="J103" s="1">
        <f>SUM(J100:J102)</f>
        <v>500</v>
      </c>
      <c r="K103" s="15">
        <f t="shared" si="42"/>
        <v>0.22600000000000001</v>
      </c>
    </row>
    <row r="104" spans="1:11" ht="18" x14ac:dyDescent="0.25">
      <c r="A104" s="55" t="s">
        <v>15</v>
      </c>
      <c r="B104" s="56"/>
      <c r="C104" s="3">
        <f>SUMPRODUCT($B100:$B102*C100:C102)</f>
        <v>73100</v>
      </c>
      <c r="D104" s="3">
        <f>SUMPRODUCT($B100:$B102*D100:D102)</f>
        <v>33575</v>
      </c>
      <c r="E104" s="3">
        <f>SUMPRODUCT($B100:$B102*E100:E102)</f>
        <v>0</v>
      </c>
      <c r="F104" s="3">
        <f>SUMPRODUCT($B100:$B102*F100:F102)</f>
        <v>0</v>
      </c>
      <c r="G104" s="3">
        <f t="shared" si="41"/>
        <v>106675</v>
      </c>
      <c r="H104" s="3">
        <f>SUMPRODUCT($B100:$B102*H100:H102)</f>
        <v>0</v>
      </c>
      <c r="I104" s="3">
        <f>G104+H104</f>
        <v>106675</v>
      </c>
      <c r="J104" s="3">
        <f>SUMPRODUCT($B100:$B102*J100:J102)</f>
        <v>569500</v>
      </c>
      <c r="K104" s="14">
        <f t="shared" si="42"/>
        <v>0.18731343283582089</v>
      </c>
    </row>
    <row r="105" spans="1:11" ht="18" x14ac:dyDescent="0.25">
      <c r="A105" s="53" t="s">
        <v>16</v>
      </c>
      <c r="B105" s="54"/>
      <c r="C105" s="1">
        <f>C97+C103</f>
        <v>180</v>
      </c>
      <c r="D105" s="1">
        <f>D97+D103</f>
        <v>125</v>
      </c>
      <c r="E105" s="1">
        <f>E97+E103</f>
        <v>0</v>
      </c>
      <c r="F105" s="1">
        <f>F97+F103</f>
        <v>0</v>
      </c>
      <c r="G105" s="1">
        <f t="shared" si="41"/>
        <v>305</v>
      </c>
      <c r="H105" s="1">
        <f>H97+H103</f>
        <v>0</v>
      </c>
      <c r="I105" s="1">
        <f>I97+I103</f>
        <v>305</v>
      </c>
      <c r="J105" s="1">
        <f>J97+J103</f>
        <v>1310</v>
      </c>
      <c r="K105" s="15">
        <f t="shared" si="42"/>
        <v>0.23282442748091603</v>
      </c>
    </row>
    <row r="106" spans="1:11" ht="18.75" thickBot="1" x14ac:dyDescent="0.3">
      <c r="A106" s="51" t="s">
        <v>17</v>
      </c>
      <c r="B106" s="52"/>
      <c r="C106" s="22">
        <f>C98+C104</f>
        <v>154530</v>
      </c>
      <c r="D106" s="22">
        <v>103530</v>
      </c>
      <c r="E106" s="22">
        <f t="shared" ref="E106:F106" si="43">E98+E104</f>
        <v>0</v>
      </c>
      <c r="F106" s="22">
        <f t="shared" si="43"/>
        <v>0</v>
      </c>
      <c r="G106" s="22">
        <f>SUM(C106:F106)</f>
        <v>258060</v>
      </c>
      <c r="H106" s="22">
        <f>H98+H104</f>
        <v>0</v>
      </c>
      <c r="I106" s="22">
        <f>G106+H106</f>
        <v>258060</v>
      </c>
      <c r="J106" s="22">
        <f>J98+J104</f>
        <v>1068025</v>
      </c>
      <c r="K106" s="23">
        <f t="shared" si="42"/>
        <v>0.24162355750099482</v>
      </c>
    </row>
    <row r="107" spans="1:11" ht="15.75" thickBot="1" x14ac:dyDescent="0.3">
      <c r="A107" s="91"/>
      <c r="B107" s="92"/>
      <c r="C107" s="92"/>
      <c r="D107" s="92"/>
      <c r="E107" s="92"/>
      <c r="F107" s="92"/>
      <c r="G107" s="92"/>
      <c r="H107" s="92"/>
      <c r="I107" s="92"/>
      <c r="J107" s="92"/>
      <c r="K107" s="93"/>
    </row>
    <row r="108" spans="1:11" ht="29.25" x14ac:dyDescent="0.25">
      <c r="A108" s="62" t="s">
        <v>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4"/>
    </row>
    <row r="109" spans="1:11" ht="21" x14ac:dyDescent="0.25">
      <c r="A109" s="65" t="s">
        <v>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7"/>
    </row>
    <row r="110" spans="1:11" ht="21" x14ac:dyDescent="0.25">
      <c r="A110" s="68" t="s">
        <v>48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70"/>
    </row>
    <row r="111" spans="1:11" ht="18" x14ac:dyDescent="0.25">
      <c r="A111" s="80" t="s">
        <v>45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3"/>
    </row>
    <row r="112" spans="1:11" ht="18" x14ac:dyDescent="0.25">
      <c r="A112" s="49" t="s">
        <v>2</v>
      </c>
      <c r="B112" s="50"/>
      <c r="C112" s="47" t="s">
        <v>26</v>
      </c>
      <c r="D112" s="47" t="s">
        <v>27</v>
      </c>
      <c r="E112" s="47" t="s">
        <v>28</v>
      </c>
      <c r="F112" s="47" t="s">
        <v>29</v>
      </c>
      <c r="G112" s="84" t="s">
        <v>3</v>
      </c>
      <c r="H112" s="47" t="s">
        <v>4</v>
      </c>
      <c r="I112" s="2" t="s">
        <v>5</v>
      </c>
      <c r="J112" s="2" t="s">
        <v>6</v>
      </c>
      <c r="K112" s="14" t="s">
        <v>7</v>
      </c>
    </row>
    <row r="113" spans="1:11" ht="18" x14ac:dyDescent="0.25">
      <c r="A113" s="60" t="s">
        <v>19</v>
      </c>
      <c r="B113" s="61"/>
      <c r="C113" s="48"/>
      <c r="D113" s="48"/>
      <c r="E113" s="48"/>
      <c r="F113" s="48"/>
      <c r="G113" s="48"/>
      <c r="H113" s="48"/>
      <c r="I113" s="25" t="s">
        <v>7</v>
      </c>
      <c r="J113" s="25" t="s">
        <v>8</v>
      </c>
      <c r="K113" s="26" t="s">
        <v>9</v>
      </c>
    </row>
    <row r="114" spans="1:11" ht="18" x14ac:dyDescent="0.25">
      <c r="A114" s="16" t="s">
        <v>18</v>
      </c>
      <c r="B114" s="7">
        <v>317.89999999999998</v>
      </c>
      <c r="C114" s="8">
        <f>SUM(C37+C9)</f>
        <v>115</v>
      </c>
      <c r="D114" s="8">
        <f>SUM(D37+D9)</f>
        <v>86</v>
      </c>
      <c r="E114" s="8">
        <f>SUM(E37+E9)</f>
        <v>0</v>
      </c>
      <c r="F114" s="8">
        <f>SUM(F37+F9)</f>
        <v>0</v>
      </c>
      <c r="G114" s="13">
        <f>SUM(C114:F114)</f>
        <v>201</v>
      </c>
      <c r="H114" s="28">
        <f>SUM(H37+H9)</f>
        <v>0</v>
      </c>
      <c r="I114" s="28">
        <f>SUM(G114+H114)</f>
        <v>201</v>
      </c>
      <c r="J114" s="12">
        <f>SUM(J37+J9)</f>
        <v>700</v>
      </c>
      <c r="K114" s="17">
        <f t="shared" ref="K114:K120" si="44">I114/J114</f>
        <v>0.28714285714285714</v>
      </c>
    </row>
    <row r="115" spans="1:11" ht="18" x14ac:dyDescent="0.25">
      <c r="A115" s="16" t="s">
        <v>10</v>
      </c>
      <c r="B115" s="7">
        <v>442</v>
      </c>
      <c r="C115" s="8">
        <f>SUM(C38+C10+C95)</f>
        <v>104</v>
      </c>
      <c r="D115" s="8">
        <f>SUM(D38+D10+D95)</f>
        <v>47</v>
      </c>
      <c r="E115" s="8">
        <f>SUM(E38+E10+E95)</f>
        <v>0</v>
      </c>
      <c r="F115" s="8">
        <f>SUM(F38+F10+F95)</f>
        <v>0</v>
      </c>
      <c r="G115" s="13">
        <f t="shared" ref="G115:G121" si="45">SUM(C115:F115)</f>
        <v>151</v>
      </c>
      <c r="H115" s="28">
        <f>SUM(H38+H10+H95)</f>
        <v>0</v>
      </c>
      <c r="I115" s="28">
        <f t="shared" ref="I115:I121" si="46">SUM(G115+H115)</f>
        <v>151</v>
      </c>
      <c r="J115" s="12">
        <f>SUM(J38+J10+J95)</f>
        <v>600</v>
      </c>
      <c r="K115" s="17">
        <f t="shared" si="44"/>
        <v>0.25166666666666665</v>
      </c>
    </row>
    <row r="116" spans="1:11" ht="18" x14ac:dyDescent="0.25">
      <c r="A116" s="16" t="s">
        <v>30</v>
      </c>
      <c r="B116" s="7">
        <v>416.5</v>
      </c>
      <c r="C116" s="8">
        <f>SUM(C39+C11+C94)</f>
        <v>390</v>
      </c>
      <c r="D116" s="8">
        <f>SUM(D39+D11+D94)</f>
        <v>271</v>
      </c>
      <c r="E116" s="8">
        <f>SUM(E39+E11+E94)</f>
        <v>0</v>
      </c>
      <c r="F116" s="8">
        <f>SUM(F39+F11+F94)</f>
        <v>0</v>
      </c>
      <c r="G116" s="13">
        <f t="shared" si="45"/>
        <v>661</v>
      </c>
      <c r="H116" s="28">
        <f>SUM(H39+H11+H94)</f>
        <v>0</v>
      </c>
      <c r="I116" s="28">
        <f t="shared" si="46"/>
        <v>661</v>
      </c>
      <c r="J116" s="12">
        <f>SUM(J39+J11+J94)</f>
        <v>1970</v>
      </c>
      <c r="K116" s="17">
        <f t="shared" si="44"/>
        <v>0.33553299492385785</v>
      </c>
    </row>
    <row r="117" spans="1:11" ht="18" x14ac:dyDescent="0.25">
      <c r="A117" s="16" t="s">
        <v>31</v>
      </c>
      <c r="B117" s="7">
        <v>637.5</v>
      </c>
      <c r="C117" s="8">
        <f>SUM(C40+C12+C93)</f>
        <v>31</v>
      </c>
      <c r="D117" s="8">
        <f>SUM(D40+D12+D93)</f>
        <v>17</v>
      </c>
      <c r="E117" s="8">
        <f>SUM(E40+E12+E93)</f>
        <v>0</v>
      </c>
      <c r="F117" s="8">
        <f>SUM(F40+F12+F93)</f>
        <v>0</v>
      </c>
      <c r="G117" s="13">
        <f t="shared" si="45"/>
        <v>48</v>
      </c>
      <c r="H117" s="28">
        <f>SUM(H40+H12+H93)</f>
        <v>0</v>
      </c>
      <c r="I117" s="28">
        <f t="shared" si="46"/>
        <v>48</v>
      </c>
      <c r="J117" s="12">
        <f>SUM(J40+J12+J93)</f>
        <v>480</v>
      </c>
      <c r="K117" s="17">
        <f t="shared" ref="K117" si="47">I117/J117</f>
        <v>0.1</v>
      </c>
    </row>
    <row r="118" spans="1:11" ht="18" x14ac:dyDescent="0.25">
      <c r="A118" s="16" t="s">
        <v>22</v>
      </c>
      <c r="B118" s="7">
        <v>382.5</v>
      </c>
      <c r="C118" s="8">
        <f t="shared" ref="C118:F121" si="48">SUM(C41+C13)</f>
        <v>135</v>
      </c>
      <c r="D118" s="8">
        <f t="shared" si="48"/>
        <v>137</v>
      </c>
      <c r="E118" s="8">
        <f t="shared" si="48"/>
        <v>0</v>
      </c>
      <c r="F118" s="8">
        <f t="shared" si="48"/>
        <v>0</v>
      </c>
      <c r="G118" s="13">
        <f t="shared" si="45"/>
        <v>272</v>
      </c>
      <c r="H118" s="8">
        <f>SUM(H41+H13)</f>
        <v>0</v>
      </c>
      <c r="I118" s="28">
        <f t="shared" si="46"/>
        <v>272</v>
      </c>
      <c r="J118" s="13">
        <f>SUM(J41+J13)</f>
        <v>400</v>
      </c>
      <c r="K118" s="17">
        <f t="shared" si="44"/>
        <v>0.68</v>
      </c>
    </row>
    <row r="119" spans="1:11" ht="18" x14ac:dyDescent="0.25">
      <c r="A119" s="16" t="s">
        <v>24</v>
      </c>
      <c r="B119" s="7">
        <v>331.5</v>
      </c>
      <c r="C119" s="8">
        <f t="shared" si="48"/>
        <v>50</v>
      </c>
      <c r="D119" s="8">
        <f t="shared" si="48"/>
        <v>91</v>
      </c>
      <c r="E119" s="8">
        <f t="shared" si="48"/>
        <v>0</v>
      </c>
      <c r="F119" s="8">
        <f t="shared" si="48"/>
        <v>0</v>
      </c>
      <c r="G119" s="13">
        <f t="shared" si="45"/>
        <v>141</v>
      </c>
      <c r="H119" s="8">
        <f>SUM(H42+H14)</f>
        <v>0</v>
      </c>
      <c r="I119" s="28">
        <f t="shared" si="46"/>
        <v>141</v>
      </c>
      <c r="J119" s="13">
        <f>SUM(J42+J14)</f>
        <v>400</v>
      </c>
      <c r="K119" s="17">
        <f t="shared" si="44"/>
        <v>0.35249999999999998</v>
      </c>
    </row>
    <row r="120" spans="1:11" ht="18" x14ac:dyDescent="0.25">
      <c r="A120" s="16" t="s">
        <v>25</v>
      </c>
      <c r="B120" s="7">
        <v>275.39999999999998</v>
      </c>
      <c r="C120" s="8">
        <f t="shared" si="48"/>
        <v>175</v>
      </c>
      <c r="D120" s="8">
        <f t="shared" si="48"/>
        <v>55</v>
      </c>
      <c r="E120" s="8">
        <f t="shared" si="48"/>
        <v>0</v>
      </c>
      <c r="F120" s="8">
        <f t="shared" si="48"/>
        <v>0</v>
      </c>
      <c r="G120" s="13">
        <f t="shared" si="45"/>
        <v>230</v>
      </c>
      <c r="H120" s="8">
        <f>SUM(H43+H15)</f>
        <v>0</v>
      </c>
      <c r="I120" s="28">
        <f t="shared" si="46"/>
        <v>230</v>
      </c>
      <c r="J120" s="13">
        <f>SUM(J43+J15)</f>
        <v>390</v>
      </c>
      <c r="K120" s="17">
        <f t="shared" si="44"/>
        <v>0.58974358974358976</v>
      </c>
    </row>
    <row r="121" spans="1:11" ht="18" x14ac:dyDescent="0.25">
      <c r="A121" s="16" t="s">
        <v>23</v>
      </c>
      <c r="B121" s="7">
        <v>484.5</v>
      </c>
      <c r="C121" s="8">
        <f t="shared" si="48"/>
        <v>0</v>
      </c>
      <c r="D121" s="8">
        <f t="shared" si="48"/>
        <v>0</v>
      </c>
      <c r="E121" s="8">
        <f t="shared" si="48"/>
        <v>0</v>
      </c>
      <c r="F121" s="8">
        <f t="shared" si="48"/>
        <v>0</v>
      </c>
      <c r="G121" s="13">
        <f t="shared" si="45"/>
        <v>0</v>
      </c>
      <c r="H121" s="8">
        <f>SUM(H44+H16)</f>
        <v>0</v>
      </c>
      <c r="I121" s="28">
        <f t="shared" si="46"/>
        <v>0</v>
      </c>
      <c r="J121" s="13">
        <f>SUM(J44+J16)</f>
        <v>0</v>
      </c>
      <c r="K121" s="17" t="e">
        <f>I121/J121</f>
        <v>#DIV/0!</v>
      </c>
    </row>
    <row r="122" spans="1:11" ht="18" hidden="1" x14ac:dyDescent="0.25">
      <c r="A122" s="16"/>
      <c r="B122" s="7"/>
      <c r="C122" s="8" t="e">
        <f>SUM(#REF!+#REF!)</f>
        <v>#REF!</v>
      </c>
      <c r="D122" s="8" t="e">
        <f>SUM(#REF!+#REF!)</f>
        <v>#REF!</v>
      </c>
      <c r="E122" s="8" t="e">
        <f>SUM(#REF!+#REF!)</f>
        <v>#REF!</v>
      </c>
      <c r="F122" s="8" t="e">
        <f>SUM(#REF!+#REF!)</f>
        <v>#REF!</v>
      </c>
      <c r="G122" s="8" t="e">
        <f>SUM(#REF!+#REF!)</f>
        <v>#REF!</v>
      </c>
      <c r="H122" s="8" t="e">
        <f>SUM(#REF!+#REF!)</f>
        <v>#REF!</v>
      </c>
      <c r="I122" s="8" t="e">
        <f>SUM(#REF!+#REF!)</f>
        <v>#REF!</v>
      </c>
      <c r="J122" s="8" t="e">
        <f>SUM(#REF!+#REF!)</f>
        <v>#REF!</v>
      </c>
      <c r="K122" s="17" t="e">
        <f>I122/J122</f>
        <v>#REF!</v>
      </c>
    </row>
    <row r="123" spans="1:11" ht="18" hidden="1" x14ac:dyDescent="0.25">
      <c r="A123" s="16"/>
      <c r="B123" s="7"/>
      <c r="C123" s="8" t="e">
        <f>SUM(#REF!+#REF!)</f>
        <v>#REF!</v>
      </c>
      <c r="D123" s="8" t="e">
        <f>SUM(#REF!+#REF!)</f>
        <v>#REF!</v>
      </c>
      <c r="E123" s="8" t="e">
        <f>SUM(#REF!+#REF!)</f>
        <v>#REF!</v>
      </c>
      <c r="F123" s="8" t="e">
        <f>SUM(#REF!+#REF!)</f>
        <v>#REF!</v>
      </c>
      <c r="G123" s="8" t="e">
        <f>SUM(#REF!+#REF!)</f>
        <v>#REF!</v>
      </c>
      <c r="H123" s="8" t="e">
        <f>SUM(#REF!+#REF!)</f>
        <v>#REF!</v>
      </c>
      <c r="I123" s="8" t="e">
        <f>SUM(#REF!+#REF!)</f>
        <v>#REF!</v>
      </c>
      <c r="J123" s="8" t="e">
        <f>SUM(#REF!+#REF!)</f>
        <v>#REF!</v>
      </c>
      <c r="K123" s="17" t="e">
        <f>I123/J123</f>
        <v>#REF!</v>
      </c>
    </row>
    <row r="124" spans="1:11" ht="18" x14ac:dyDescent="0.25">
      <c r="A124" s="53" t="s">
        <v>11</v>
      </c>
      <c r="B124" s="54"/>
      <c r="C124" s="24">
        <f t="shared" ref="C124:J124" si="49">SUM(C114:C121)</f>
        <v>1000</v>
      </c>
      <c r="D124" s="9">
        <f t="shared" si="49"/>
        <v>704</v>
      </c>
      <c r="E124" s="9">
        <f t="shared" si="49"/>
        <v>0</v>
      </c>
      <c r="F124" s="9">
        <f t="shared" si="49"/>
        <v>0</v>
      </c>
      <c r="G124" s="9">
        <f t="shared" si="49"/>
        <v>1704</v>
      </c>
      <c r="H124" s="24">
        <f t="shared" si="49"/>
        <v>0</v>
      </c>
      <c r="I124" s="24">
        <f t="shared" si="49"/>
        <v>1704</v>
      </c>
      <c r="J124" s="24">
        <f t="shared" si="49"/>
        <v>4940</v>
      </c>
      <c r="K124" s="18">
        <f>I124/J124</f>
        <v>0.34493927125506074</v>
      </c>
    </row>
    <row r="125" spans="1:11" ht="18" x14ac:dyDescent="0.25">
      <c r="A125" s="55" t="s">
        <v>12</v>
      </c>
      <c r="B125" s="56"/>
      <c r="C125" s="11">
        <f t="shared" ref="C125:H125" si="50">SUM(C46+C18+C98)</f>
        <v>426011.5</v>
      </c>
      <c r="D125" s="11">
        <f t="shared" si="50"/>
        <v>332650.90000000002</v>
      </c>
      <c r="E125" s="11">
        <f t="shared" si="50"/>
        <v>0</v>
      </c>
      <c r="F125" s="11">
        <f t="shared" si="50"/>
        <v>0</v>
      </c>
      <c r="G125" s="11">
        <f t="shared" si="50"/>
        <v>758662.4</v>
      </c>
      <c r="H125" s="11">
        <f t="shared" si="50"/>
        <v>0</v>
      </c>
      <c r="I125" s="11">
        <f>SUM(G125+H125)</f>
        <v>758662.4</v>
      </c>
      <c r="J125" s="11">
        <f>SUM(J46+J18+J98)</f>
        <v>2147491</v>
      </c>
      <c r="K125" s="19">
        <f>I125/J125</f>
        <v>0.3532785003522716</v>
      </c>
    </row>
    <row r="126" spans="1:11" ht="18" x14ac:dyDescent="0.25">
      <c r="A126" s="57" t="s">
        <v>20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9"/>
    </row>
    <row r="127" spans="1:11" ht="18" x14ac:dyDescent="0.25">
      <c r="A127" s="16" t="s">
        <v>21</v>
      </c>
      <c r="B127" s="7">
        <v>977.5</v>
      </c>
      <c r="C127" s="8">
        <f>SUM(C48+C20)</f>
        <v>0</v>
      </c>
      <c r="D127" s="8">
        <f>SUM(D48+D20)</f>
        <v>0</v>
      </c>
      <c r="E127" s="8">
        <f>SUM(E48+E20)</f>
        <v>0</v>
      </c>
      <c r="F127" s="8">
        <f>SUM(F48+F20)</f>
        <v>0</v>
      </c>
      <c r="G127" s="13">
        <f>SUM(C127:F127)</f>
        <v>0</v>
      </c>
      <c r="H127" s="8">
        <f>SUM(H48+H20)</f>
        <v>0</v>
      </c>
      <c r="I127" s="8">
        <f>SUM(G127+H127)</f>
        <v>0</v>
      </c>
      <c r="J127" s="12">
        <f>SUM(J48+J20)</f>
        <v>0</v>
      </c>
      <c r="K127" s="17" t="e">
        <f t="shared" ref="K127:K137" si="51">I127/J127</f>
        <v>#DIV/0!</v>
      </c>
    </row>
    <row r="128" spans="1:11" ht="18" x14ac:dyDescent="0.25">
      <c r="A128" s="27" t="s">
        <v>43</v>
      </c>
      <c r="B128" s="7">
        <v>1402.5</v>
      </c>
      <c r="C128" s="8">
        <f>SUM(C96,C78)</f>
        <v>32</v>
      </c>
      <c r="D128" s="8">
        <f>SUM(D96,D78)</f>
        <v>45</v>
      </c>
      <c r="E128" s="8">
        <f t="shared" ref="E128:F128" si="52">SUM(E96,E78)</f>
        <v>0</v>
      </c>
      <c r="F128" s="8">
        <f t="shared" si="52"/>
        <v>0</v>
      </c>
      <c r="G128" s="13">
        <f t="shared" ref="G128:G133" si="53">SUM(C128:F128)</f>
        <v>77</v>
      </c>
      <c r="H128" s="6">
        <f>SUM(H96)</f>
        <v>0</v>
      </c>
      <c r="I128" s="8">
        <f t="shared" ref="I128:I133" si="54">SUM(G128+H128)</f>
        <v>77</v>
      </c>
      <c r="J128" s="12">
        <f>SUM(J96)</f>
        <v>100</v>
      </c>
      <c r="K128" s="17">
        <f t="shared" ref="K128:K131" si="55">I128/J128</f>
        <v>0.77</v>
      </c>
    </row>
    <row r="129" spans="1:11" ht="18" x14ac:dyDescent="0.25">
      <c r="A129" s="16" t="s">
        <v>41</v>
      </c>
      <c r="B129" s="7">
        <v>1955</v>
      </c>
      <c r="C129" s="8">
        <f>SUM(C79+C100)</f>
        <v>24</v>
      </c>
      <c r="D129" s="8">
        <f>SUM(D79+D100)</f>
        <v>5</v>
      </c>
      <c r="E129" s="8">
        <f>SUM(E79+E100)</f>
        <v>0</v>
      </c>
      <c r="F129" s="8">
        <f t="shared" ref="F129" si="56">SUM(F79+F100)</f>
        <v>0</v>
      </c>
      <c r="G129" s="13">
        <f t="shared" si="53"/>
        <v>29</v>
      </c>
      <c r="H129" s="6">
        <f>SUM(H49+H100)</f>
        <v>0</v>
      </c>
      <c r="I129" s="8">
        <f t="shared" si="54"/>
        <v>29</v>
      </c>
      <c r="J129" s="12">
        <f>SUM(J100)</f>
        <v>200</v>
      </c>
      <c r="K129" s="17">
        <f t="shared" si="55"/>
        <v>0.14499999999999999</v>
      </c>
    </row>
    <row r="130" spans="1:11" ht="18" x14ac:dyDescent="0.25">
      <c r="A130" s="27" t="s">
        <v>37</v>
      </c>
      <c r="B130" s="7">
        <v>595</v>
      </c>
      <c r="C130" s="8">
        <f>C101</f>
        <v>12</v>
      </c>
      <c r="D130" s="8">
        <f t="shared" ref="C130:F131" si="57">D101</f>
        <v>20</v>
      </c>
      <c r="E130" s="8">
        <f t="shared" si="57"/>
        <v>0</v>
      </c>
      <c r="F130" s="8">
        <f t="shared" si="57"/>
        <v>0</v>
      </c>
      <c r="G130" s="13">
        <f t="shared" si="53"/>
        <v>32</v>
      </c>
      <c r="H130" s="6">
        <f>H101</f>
        <v>0</v>
      </c>
      <c r="I130" s="8">
        <f t="shared" si="54"/>
        <v>32</v>
      </c>
      <c r="J130" s="12">
        <f>J101</f>
        <v>200</v>
      </c>
      <c r="K130" s="17">
        <f t="shared" si="55"/>
        <v>0.16</v>
      </c>
    </row>
    <row r="131" spans="1:11" ht="18" x14ac:dyDescent="0.25">
      <c r="A131" s="16" t="s">
        <v>42</v>
      </c>
      <c r="B131" s="7">
        <v>595</v>
      </c>
      <c r="C131" s="8">
        <f t="shared" si="57"/>
        <v>32</v>
      </c>
      <c r="D131" s="8">
        <f t="shared" si="57"/>
        <v>20</v>
      </c>
      <c r="E131" s="8">
        <f t="shared" si="57"/>
        <v>0</v>
      </c>
      <c r="F131" s="8">
        <f t="shared" si="57"/>
        <v>0</v>
      </c>
      <c r="G131" s="13">
        <f t="shared" si="53"/>
        <v>52</v>
      </c>
      <c r="H131" s="6">
        <f>H102</f>
        <v>0</v>
      </c>
      <c r="I131" s="8">
        <f t="shared" si="54"/>
        <v>52</v>
      </c>
      <c r="J131" s="12">
        <f>J102</f>
        <v>100</v>
      </c>
      <c r="K131" s="17">
        <f t="shared" si="55"/>
        <v>0.52</v>
      </c>
    </row>
    <row r="132" spans="1:11" ht="18" x14ac:dyDescent="0.25">
      <c r="A132" s="16" t="s">
        <v>13</v>
      </c>
      <c r="B132" s="7">
        <v>807.5</v>
      </c>
      <c r="C132" s="8">
        <f t="shared" ref="C132:F133" si="58">SUM(C49+C21)</f>
        <v>16</v>
      </c>
      <c r="D132" s="8">
        <f t="shared" si="58"/>
        <v>10</v>
      </c>
      <c r="E132" s="8">
        <f t="shared" si="58"/>
        <v>0</v>
      </c>
      <c r="F132" s="8">
        <f t="shared" si="58"/>
        <v>0</v>
      </c>
      <c r="G132" s="13">
        <f t="shared" si="53"/>
        <v>26</v>
      </c>
      <c r="H132" s="28">
        <f>SUM(H49+H21)</f>
        <v>0</v>
      </c>
      <c r="I132" s="8">
        <f t="shared" si="54"/>
        <v>26</v>
      </c>
      <c r="J132" s="12">
        <f>SUM(J49+J21)</f>
        <v>300</v>
      </c>
      <c r="K132" s="17">
        <f t="shared" si="51"/>
        <v>8.666666666666667E-2</v>
      </c>
    </row>
    <row r="133" spans="1:11" ht="18" x14ac:dyDescent="0.25">
      <c r="A133" s="16" t="s">
        <v>14</v>
      </c>
      <c r="B133" s="7">
        <v>365.5</v>
      </c>
      <c r="C133" s="8">
        <f t="shared" si="58"/>
        <v>0</v>
      </c>
      <c r="D133" s="8">
        <f t="shared" si="58"/>
        <v>6</v>
      </c>
      <c r="E133" s="8">
        <f t="shared" si="58"/>
        <v>0</v>
      </c>
      <c r="F133" s="8">
        <f t="shared" si="58"/>
        <v>0</v>
      </c>
      <c r="G133" s="13">
        <f t="shared" si="53"/>
        <v>6</v>
      </c>
      <c r="H133" s="28">
        <f>SUM(H50+H22)</f>
        <v>0</v>
      </c>
      <c r="I133" s="8">
        <f t="shared" si="54"/>
        <v>6</v>
      </c>
      <c r="J133" s="13">
        <f>SUM(J50+J22)</f>
        <v>300</v>
      </c>
      <c r="K133" s="17">
        <f t="shared" si="51"/>
        <v>0.02</v>
      </c>
    </row>
    <row r="134" spans="1:11" ht="18" x14ac:dyDescent="0.25">
      <c r="A134" s="53" t="s">
        <v>11</v>
      </c>
      <c r="B134" s="54"/>
      <c r="C134" s="9">
        <f>SUM(C127:C133)</f>
        <v>116</v>
      </c>
      <c r="D134" s="9">
        <f>SUM(D127:D133)</f>
        <v>106</v>
      </c>
      <c r="E134" s="9">
        <f>SUM(E127:E133)</f>
        <v>0</v>
      </c>
      <c r="F134" s="9">
        <f t="shared" ref="F134" si="59">SUM(F127:F133)</f>
        <v>0</v>
      </c>
      <c r="G134" s="9">
        <f>SUM(G127:G133)</f>
        <v>222</v>
      </c>
      <c r="H134" s="9">
        <f>SUM(H127:H133)</f>
        <v>0</v>
      </c>
      <c r="I134" s="9">
        <f>SUM(G134+H134)</f>
        <v>222</v>
      </c>
      <c r="J134" s="24">
        <f>SUM(J127:J133)</f>
        <v>1200</v>
      </c>
      <c r="K134" s="18">
        <f t="shared" si="51"/>
        <v>0.185</v>
      </c>
    </row>
    <row r="135" spans="1:11" ht="18" x14ac:dyDescent="0.25">
      <c r="A135" s="55" t="s">
        <v>15</v>
      </c>
      <c r="B135" s="56"/>
      <c r="C135" s="11">
        <f t="shared" ref="C135:F136" si="60">SUM(C52+C27+C104)</f>
        <v>86020</v>
      </c>
      <c r="D135" s="11">
        <f t="shared" si="60"/>
        <v>43843</v>
      </c>
      <c r="E135" s="11">
        <f t="shared" si="60"/>
        <v>0</v>
      </c>
      <c r="F135" s="10">
        <f t="shared" si="60"/>
        <v>0</v>
      </c>
      <c r="G135" s="11">
        <f>SUM(G52+G27+H104)</f>
        <v>23188</v>
      </c>
      <c r="H135" s="11">
        <f>SUM(H52+H27+H104)</f>
        <v>0</v>
      </c>
      <c r="I135" s="11">
        <f>SUM(G135+H135)</f>
        <v>23188</v>
      </c>
      <c r="J135" s="11">
        <f>SUM(J52+J27+J104)</f>
        <v>921400</v>
      </c>
      <c r="K135" s="19">
        <f t="shared" si="51"/>
        <v>2.5166051660516605E-2</v>
      </c>
    </row>
    <row r="136" spans="1:11" ht="18.75" thickBot="1" x14ac:dyDescent="0.3">
      <c r="A136" s="98" t="s">
        <v>16</v>
      </c>
      <c r="B136" s="99"/>
      <c r="C136" s="33">
        <f t="shared" si="60"/>
        <v>1116</v>
      </c>
      <c r="D136" s="34">
        <f t="shared" si="60"/>
        <v>810</v>
      </c>
      <c r="E136" s="34">
        <f t="shared" si="60"/>
        <v>0</v>
      </c>
      <c r="F136" s="34">
        <f t="shared" si="60"/>
        <v>0</v>
      </c>
      <c r="G136" s="33">
        <f>G124+G134</f>
        <v>1926</v>
      </c>
      <c r="H136" s="33">
        <f>SUM(H124+H134)</f>
        <v>0</v>
      </c>
      <c r="I136" s="34">
        <f t="shared" ref="I136" si="61">SUM(G136+H136)</f>
        <v>1926</v>
      </c>
      <c r="J136" s="33">
        <f>SUM(J124+J134)</f>
        <v>6140</v>
      </c>
      <c r="K136" s="35">
        <f t="shared" si="51"/>
        <v>0.31368078175895764</v>
      </c>
    </row>
    <row r="137" spans="1:11" ht="24.75" customHeight="1" thickBot="1" x14ac:dyDescent="0.3">
      <c r="A137" s="96" t="s">
        <v>17</v>
      </c>
      <c r="B137" s="97"/>
      <c r="C137" s="36">
        <f>SUM(C106+C84)</f>
        <v>512031.5</v>
      </c>
      <c r="D137" s="36">
        <f t="shared" ref="D137:F137" si="62">SUM(D106+D84)</f>
        <v>366293.9</v>
      </c>
      <c r="E137" s="37">
        <f>SUM(E106+E84)</f>
        <v>0</v>
      </c>
      <c r="F137" s="36">
        <f t="shared" si="62"/>
        <v>0</v>
      </c>
      <c r="G137" s="37">
        <f>SUM(G54+G29+G106)</f>
        <v>878325.4</v>
      </c>
      <c r="H137" s="36">
        <f>SUM(H54+H29+H106)</f>
        <v>0</v>
      </c>
      <c r="I137" s="37">
        <f>SUM(G137+H137)</f>
        <v>878325.4</v>
      </c>
      <c r="J137" s="36">
        <f>SUM(J54+J29+J106)</f>
        <v>3068891</v>
      </c>
      <c r="K137" s="38">
        <f t="shared" si="51"/>
        <v>0.28620286611678292</v>
      </c>
    </row>
  </sheetData>
  <mergeCells count="102">
    <mergeCell ref="A55:K55"/>
    <mergeCell ref="A30:K30"/>
    <mergeCell ref="C112:C113"/>
    <mergeCell ref="D112:D113"/>
    <mergeCell ref="A126:K126"/>
    <mergeCell ref="A125:B125"/>
    <mergeCell ref="A124:B124"/>
    <mergeCell ref="E112:E113"/>
    <mergeCell ref="F112:F113"/>
    <mergeCell ref="G112:G113"/>
    <mergeCell ref="H112:H113"/>
    <mergeCell ref="A112:B112"/>
    <mergeCell ref="A113:B113"/>
    <mergeCell ref="A137:B137"/>
    <mergeCell ref="A136:B136"/>
    <mergeCell ref="A135:B135"/>
    <mergeCell ref="A134:B134"/>
    <mergeCell ref="H35:H36"/>
    <mergeCell ref="C35:C36"/>
    <mergeCell ref="D35:D36"/>
    <mergeCell ref="E35:E36"/>
    <mergeCell ref="F35:F36"/>
    <mergeCell ref="G35:G36"/>
    <mergeCell ref="A59:K59"/>
    <mergeCell ref="A74:B74"/>
    <mergeCell ref="A73:B73"/>
    <mergeCell ref="A72:B72"/>
    <mergeCell ref="A60:B60"/>
    <mergeCell ref="A61:B61"/>
    <mergeCell ref="C60:C61"/>
    <mergeCell ref="E60:E61"/>
    <mergeCell ref="F60:F61"/>
    <mergeCell ref="G60:G61"/>
    <mergeCell ref="H60:H61"/>
    <mergeCell ref="A84:B84"/>
    <mergeCell ref="A99:K99"/>
    <mergeCell ref="A98:B98"/>
    <mergeCell ref="A97:B97"/>
    <mergeCell ref="A92:B92"/>
    <mergeCell ref="C91:C92"/>
    <mergeCell ref="D91:D92"/>
    <mergeCell ref="E91:E92"/>
    <mergeCell ref="F91:F92"/>
    <mergeCell ref="G91:G92"/>
    <mergeCell ref="H91:H92"/>
    <mergeCell ref="A91:B91"/>
    <mergeCell ref="A86:K86"/>
    <mergeCell ref="A87:K87"/>
    <mergeCell ref="A85:K85"/>
    <mergeCell ref="A88:K88"/>
    <mergeCell ref="A89:K89"/>
    <mergeCell ref="A90:K90"/>
    <mergeCell ref="A110:K110"/>
    <mergeCell ref="A111:K111"/>
    <mergeCell ref="A108:K108"/>
    <mergeCell ref="A109:K109"/>
    <mergeCell ref="A103:B103"/>
    <mergeCell ref="A106:B106"/>
    <mergeCell ref="A105:B105"/>
    <mergeCell ref="A104:B104"/>
    <mergeCell ref="A107:K107"/>
    <mergeCell ref="A32:K32"/>
    <mergeCell ref="A33:K33"/>
    <mergeCell ref="A34:K34"/>
    <mergeCell ref="A5:K5"/>
    <mergeCell ref="A4:K4"/>
    <mergeCell ref="A7:B7"/>
    <mergeCell ref="A8:B8"/>
    <mergeCell ref="A29:B29"/>
    <mergeCell ref="A28:B28"/>
    <mergeCell ref="A27:B27"/>
    <mergeCell ref="A26:B26"/>
    <mergeCell ref="A19:K19"/>
    <mergeCell ref="A18:B18"/>
    <mergeCell ref="A17:B17"/>
    <mergeCell ref="H7:H8"/>
    <mergeCell ref="C7:C8"/>
    <mergeCell ref="A1:K1"/>
    <mergeCell ref="A2:K2"/>
    <mergeCell ref="A3:K3"/>
    <mergeCell ref="A6:K6"/>
    <mergeCell ref="A31:K31"/>
    <mergeCell ref="D7:D8"/>
    <mergeCell ref="E7:E8"/>
    <mergeCell ref="F7:F8"/>
    <mergeCell ref="G7:G8"/>
    <mergeCell ref="A83:B83"/>
    <mergeCell ref="A82:B82"/>
    <mergeCell ref="A81:B81"/>
    <mergeCell ref="D60:D61"/>
    <mergeCell ref="A35:B35"/>
    <mergeCell ref="A54:B54"/>
    <mergeCell ref="A53:B53"/>
    <mergeCell ref="A52:B52"/>
    <mergeCell ref="A51:B51"/>
    <mergeCell ref="A47:K47"/>
    <mergeCell ref="A46:B46"/>
    <mergeCell ref="A45:B45"/>
    <mergeCell ref="A36:B36"/>
    <mergeCell ref="A56:K56"/>
    <mergeCell ref="A57:K57"/>
    <mergeCell ref="A58:K58"/>
  </mergeCells>
  <phoneticPr fontId="1" type="noConversion"/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Multan June-2026</vt:lpstr>
      <vt:lpstr>'Multan June-2026'!Print_Area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Aamir Riaz</dc:creator>
  <cp:lastModifiedBy>Arslan Majid Hussain</cp:lastModifiedBy>
  <cp:revision>3</cp:revision>
  <cp:lastPrinted>2026-05-16T17:00:40Z</cp:lastPrinted>
  <dcterms:created xsi:type="dcterms:W3CDTF">2025-08-25T13:10:27Z</dcterms:created>
  <dcterms:modified xsi:type="dcterms:W3CDTF">2026-06-14T09:18:48Z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3081-8.0.0</vt:lpwstr>
  </property>
</Properties>
</file>